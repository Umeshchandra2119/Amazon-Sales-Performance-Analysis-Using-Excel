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 EXCEL INNO\Module Project\"/>
    </mc:Choice>
  </mc:AlternateContent>
  <xr:revisionPtr revIDLastSave="0" documentId="13_ncr:1_{C789F30C-4144-4E0F-B8BE-9876B3972459}" xr6:coauthVersionLast="47" xr6:coauthVersionMax="47" xr10:uidLastSave="{00000000-0000-0000-0000-000000000000}"/>
  <bookViews>
    <workbookView xWindow="-108" yWindow="-108" windowWidth="23256" windowHeight="12456" activeTab="2" xr2:uid="{56E740FD-4E56-4A1B-B863-D93E6B84342E}"/>
  </bookViews>
  <sheets>
    <sheet name="Cleaned_Data_Amazon_Sales" sheetId="1" r:id="rId1"/>
    <sheet name="EDA_Pivot_Analysis" sheetId="2" r:id="rId2"/>
    <sheet name="KPI_Pivot_Analysis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0" i="1" l="1"/>
  <c r="C250" i="1"/>
  <c r="O249" i="1"/>
  <c r="C249" i="1"/>
  <c r="O248" i="1"/>
  <c r="C248" i="1"/>
  <c r="O247" i="1"/>
  <c r="C247" i="1"/>
  <c r="O246" i="1"/>
  <c r="C246" i="1"/>
  <c r="O245" i="1"/>
  <c r="C245" i="1"/>
  <c r="O244" i="1"/>
  <c r="C244" i="1"/>
  <c r="O243" i="1"/>
  <c r="C243" i="1"/>
  <c r="O242" i="1"/>
  <c r="C242" i="1"/>
  <c r="O241" i="1"/>
  <c r="C241" i="1"/>
  <c r="O240" i="1"/>
  <c r="C240" i="1"/>
  <c r="O239" i="1"/>
  <c r="C239" i="1"/>
  <c r="O238" i="1"/>
  <c r="C238" i="1"/>
  <c r="O237" i="1"/>
  <c r="C237" i="1"/>
  <c r="O236" i="1"/>
  <c r="C236" i="1"/>
  <c r="O235" i="1"/>
  <c r="C235" i="1"/>
  <c r="O234" i="1"/>
  <c r="C234" i="1"/>
  <c r="O233" i="1"/>
  <c r="C233" i="1"/>
  <c r="O232" i="1"/>
  <c r="C232" i="1"/>
  <c r="O231" i="1"/>
  <c r="C231" i="1"/>
  <c r="O230" i="1"/>
  <c r="C230" i="1"/>
  <c r="O229" i="1"/>
  <c r="C229" i="1"/>
  <c r="O228" i="1"/>
  <c r="C228" i="1"/>
  <c r="O227" i="1"/>
  <c r="C227" i="1"/>
  <c r="O226" i="1"/>
  <c r="C226" i="1"/>
  <c r="O225" i="1"/>
  <c r="C225" i="1"/>
  <c r="O224" i="1"/>
  <c r="C224" i="1"/>
  <c r="O223" i="1"/>
  <c r="C223" i="1"/>
  <c r="O222" i="1"/>
  <c r="C222" i="1"/>
  <c r="O221" i="1"/>
  <c r="C221" i="1"/>
  <c r="O220" i="1"/>
  <c r="C220" i="1"/>
  <c r="O219" i="1"/>
  <c r="C219" i="1"/>
  <c r="O218" i="1"/>
  <c r="C218" i="1"/>
  <c r="O217" i="1"/>
  <c r="C217" i="1"/>
  <c r="O216" i="1"/>
  <c r="C216" i="1"/>
  <c r="O215" i="1"/>
  <c r="C215" i="1"/>
  <c r="O214" i="1"/>
  <c r="C214" i="1"/>
  <c r="O213" i="1"/>
  <c r="C213" i="1"/>
  <c r="O212" i="1"/>
  <c r="C212" i="1"/>
  <c r="O211" i="1"/>
  <c r="C211" i="1"/>
  <c r="O210" i="1"/>
  <c r="C210" i="1"/>
  <c r="O209" i="1"/>
  <c r="C209" i="1"/>
  <c r="O208" i="1"/>
  <c r="C208" i="1"/>
  <c r="O207" i="1"/>
  <c r="C207" i="1"/>
  <c r="O206" i="1"/>
  <c r="C206" i="1"/>
  <c r="O205" i="1"/>
  <c r="C205" i="1"/>
  <c r="O204" i="1"/>
  <c r="C204" i="1"/>
  <c r="O203" i="1"/>
  <c r="C203" i="1"/>
  <c r="O202" i="1"/>
  <c r="C202" i="1"/>
  <c r="O201" i="1"/>
  <c r="C201" i="1"/>
  <c r="O200" i="1"/>
  <c r="C200" i="1"/>
  <c r="O199" i="1"/>
  <c r="C199" i="1"/>
  <c r="O198" i="1"/>
  <c r="C198" i="1"/>
  <c r="O197" i="1"/>
  <c r="C197" i="1"/>
  <c r="O196" i="1"/>
  <c r="C196" i="1"/>
  <c r="O195" i="1"/>
  <c r="C195" i="1"/>
  <c r="O194" i="1"/>
  <c r="C194" i="1"/>
  <c r="O193" i="1"/>
  <c r="C193" i="1"/>
  <c r="O192" i="1"/>
  <c r="C192" i="1"/>
  <c r="O191" i="1"/>
  <c r="C191" i="1"/>
  <c r="O190" i="1"/>
  <c r="C190" i="1"/>
  <c r="O189" i="1"/>
  <c r="C189" i="1"/>
  <c r="O188" i="1"/>
  <c r="C188" i="1"/>
  <c r="O187" i="1"/>
  <c r="C187" i="1"/>
  <c r="O186" i="1"/>
  <c r="C186" i="1"/>
  <c r="O185" i="1"/>
  <c r="C185" i="1"/>
  <c r="O184" i="1"/>
  <c r="C184" i="1"/>
  <c r="O183" i="1"/>
  <c r="C183" i="1"/>
  <c r="O182" i="1"/>
  <c r="C182" i="1"/>
  <c r="O181" i="1"/>
  <c r="C181" i="1"/>
  <c r="O180" i="1"/>
  <c r="C180" i="1"/>
  <c r="O179" i="1"/>
  <c r="C179" i="1"/>
  <c r="O178" i="1"/>
  <c r="C178" i="1"/>
  <c r="O177" i="1"/>
  <c r="C177" i="1"/>
  <c r="O176" i="1"/>
  <c r="C176" i="1"/>
  <c r="O175" i="1"/>
  <c r="C175" i="1"/>
  <c r="O174" i="1"/>
  <c r="C174" i="1"/>
  <c r="O173" i="1"/>
  <c r="C173" i="1"/>
  <c r="O172" i="1"/>
  <c r="C172" i="1"/>
  <c r="O171" i="1"/>
  <c r="C171" i="1"/>
  <c r="O170" i="1"/>
  <c r="C170" i="1"/>
  <c r="O169" i="1"/>
  <c r="C169" i="1"/>
  <c r="O168" i="1"/>
  <c r="C168" i="1"/>
  <c r="O167" i="1"/>
  <c r="C167" i="1"/>
  <c r="O166" i="1"/>
  <c r="C166" i="1"/>
  <c r="O165" i="1"/>
  <c r="C165" i="1"/>
  <c r="O164" i="1"/>
  <c r="C164" i="1"/>
  <c r="O163" i="1"/>
  <c r="C163" i="1"/>
  <c r="O162" i="1"/>
  <c r="C162" i="1"/>
  <c r="O161" i="1"/>
  <c r="C161" i="1"/>
  <c r="O160" i="1"/>
  <c r="C160" i="1"/>
  <c r="O159" i="1"/>
  <c r="C159" i="1"/>
  <c r="O158" i="1"/>
  <c r="C158" i="1"/>
  <c r="O157" i="1"/>
  <c r="C157" i="1"/>
  <c r="O156" i="1"/>
  <c r="C156" i="1"/>
  <c r="O155" i="1"/>
  <c r="C155" i="1"/>
  <c r="O154" i="1"/>
  <c r="C154" i="1"/>
  <c r="O153" i="1"/>
  <c r="C153" i="1"/>
  <c r="O152" i="1"/>
  <c r="C152" i="1"/>
  <c r="O151" i="1"/>
  <c r="C151" i="1"/>
  <c r="O150" i="1"/>
  <c r="C150" i="1"/>
  <c r="O149" i="1"/>
  <c r="C149" i="1"/>
  <c r="O148" i="1"/>
  <c r="C148" i="1"/>
  <c r="O147" i="1"/>
  <c r="C147" i="1"/>
  <c r="O146" i="1"/>
  <c r="C146" i="1"/>
  <c r="O145" i="1"/>
  <c r="C145" i="1"/>
  <c r="O144" i="1"/>
  <c r="C144" i="1"/>
  <c r="O143" i="1"/>
  <c r="C143" i="1"/>
  <c r="O142" i="1"/>
  <c r="C142" i="1"/>
  <c r="O141" i="1"/>
  <c r="C141" i="1"/>
  <c r="O140" i="1"/>
  <c r="C140" i="1"/>
  <c r="O139" i="1"/>
  <c r="C139" i="1"/>
  <c r="O138" i="1"/>
  <c r="C138" i="1"/>
  <c r="O137" i="1"/>
  <c r="C137" i="1"/>
  <c r="O136" i="1"/>
  <c r="C136" i="1"/>
  <c r="O135" i="1"/>
  <c r="C135" i="1"/>
  <c r="O134" i="1"/>
  <c r="C134" i="1"/>
  <c r="O133" i="1"/>
  <c r="C133" i="1"/>
  <c r="O132" i="1"/>
  <c r="C132" i="1"/>
  <c r="O131" i="1"/>
  <c r="C131" i="1"/>
  <c r="O130" i="1"/>
  <c r="C130" i="1"/>
  <c r="O129" i="1"/>
  <c r="C129" i="1"/>
  <c r="O128" i="1"/>
  <c r="C128" i="1"/>
  <c r="O127" i="1"/>
  <c r="C127" i="1"/>
  <c r="O126" i="1"/>
  <c r="C126" i="1"/>
  <c r="O125" i="1"/>
  <c r="C125" i="1"/>
  <c r="O124" i="1"/>
  <c r="C124" i="1"/>
  <c r="O123" i="1"/>
  <c r="C123" i="1"/>
  <c r="O122" i="1"/>
  <c r="C122" i="1"/>
  <c r="O121" i="1"/>
  <c r="C121" i="1"/>
  <c r="O120" i="1"/>
  <c r="C120" i="1"/>
  <c r="O119" i="1"/>
  <c r="C119" i="1"/>
  <c r="O118" i="1"/>
  <c r="C118" i="1"/>
  <c r="O117" i="1"/>
  <c r="C117" i="1"/>
  <c r="O116" i="1"/>
  <c r="C116" i="1"/>
  <c r="O115" i="1"/>
  <c r="C115" i="1"/>
  <c r="O114" i="1"/>
  <c r="C114" i="1"/>
  <c r="O113" i="1"/>
  <c r="C113" i="1"/>
  <c r="O112" i="1"/>
  <c r="C112" i="1"/>
  <c r="O111" i="1"/>
  <c r="C111" i="1"/>
  <c r="O110" i="1"/>
  <c r="C110" i="1"/>
  <c r="O109" i="1"/>
  <c r="C109" i="1"/>
  <c r="O108" i="1"/>
  <c r="C108" i="1"/>
  <c r="O107" i="1"/>
  <c r="C107" i="1"/>
  <c r="O106" i="1"/>
  <c r="C106" i="1"/>
  <c r="O105" i="1"/>
  <c r="C105" i="1"/>
  <c r="O104" i="1"/>
  <c r="C104" i="1"/>
  <c r="O103" i="1"/>
  <c r="C103" i="1"/>
  <c r="O102" i="1"/>
  <c r="C102" i="1"/>
  <c r="O101" i="1"/>
  <c r="C101" i="1"/>
  <c r="O100" i="1"/>
  <c r="C100" i="1"/>
  <c r="O99" i="1"/>
  <c r="C99" i="1"/>
  <c r="O98" i="1"/>
  <c r="C98" i="1"/>
  <c r="O97" i="1"/>
  <c r="C97" i="1"/>
  <c r="O96" i="1"/>
  <c r="C96" i="1"/>
  <c r="O95" i="1"/>
  <c r="C95" i="1"/>
  <c r="O94" i="1"/>
  <c r="C94" i="1"/>
  <c r="O93" i="1"/>
  <c r="C93" i="1"/>
  <c r="O92" i="1"/>
  <c r="C92" i="1"/>
  <c r="O91" i="1"/>
  <c r="C91" i="1"/>
  <c r="O90" i="1"/>
  <c r="C90" i="1"/>
  <c r="O89" i="1"/>
  <c r="C89" i="1"/>
  <c r="O88" i="1"/>
  <c r="C88" i="1"/>
  <c r="O87" i="1"/>
  <c r="C87" i="1"/>
  <c r="O86" i="1"/>
  <c r="C86" i="1"/>
  <c r="O85" i="1"/>
  <c r="C85" i="1"/>
  <c r="O84" i="1"/>
  <c r="C84" i="1"/>
  <c r="O83" i="1"/>
  <c r="C83" i="1"/>
  <c r="O82" i="1"/>
  <c r="C82" i="1"/>
  <c r="O81" i="1"/>
  <c r="C81" i="1"/>
  <c r="O80" i="1"/>
  <c r="C80" i="1"/>
  <c r="O79" i="1"/>
  <c r="C79" i="1"/>
  <c r="O78" i="1"/>
  <c r="C78" i="1"/>
  <c r="O77" i="1"/>
  <c r="C77" i="1"/>
  <c r="O76" i="1"/>
  <c r="C76" i="1"/>
  <c r="O75" i="1"/>
  <c r="C75" i="1"/>
  <c r="O74" i="1"/>
  <c r="C74" i="1"/>
  <c r="O73" i="1"/>
  <c r="C73" i="1"/>
  <c r="O72" i="1"/>
  <c r="C72" i="1"/>
  <c r="O71" i="1"/>
  <c r="C71" i="1"/>
  <c r="O70" i="1"/>
  <c r="C70" i="1"/>
  <c r="O69" i="1"/>
  <c r="C69" i="1"/>
  <c r="O68" i="1"/>
  <c r="C68" i="1"/>
  <c r="O67" i="1"/>
  <c r="C67" i="1"/>
  <c r="O66" i="1"/>
  <c r="C66" i="1"/>
  <c r="O65" i="1"/>
  <c r="C65" i="1"/>
  <c r="O64" i="1"/>
  <c r="C64" i="1"/>
  <c r="O63" i="1"/>
  <c r="C63" i="1"/>
  <c r="O62" i="1"/>
  <c r="C62" i="1"/>
  <c r="O61" i="1"/>
  <c r="C61" i="1"/>
  <c r="O60" i="1"/>
  <c r="C60" i="1"/>
  <c r="O59" i="1"/>
  <c r="C59" i="1"/>
  <c r="O58" i="1"/>
  <c r="C58" i="1"/>
  <c r="O57" i="1"/>
  <c r="C57" i="1"/>
  <c r="O56" i="1"/>
  <c r="C56" i="1"/>
  <c r="O55" i="1"/>
  <c r="C55" i="1"/>
  <c r="O54" i="1"/>
  <c r="C54" i="1"/>
  <c r="O53" i="1"/>
  <c r="C53" i="1"/>
  <c r="O52" i="1"/>
  <c r="C52" i="1"/>
  <c r="O51" i="1"/>
  <c r="C51" i="1"/>
  <c r="O50" i="1"/>
  <c r="C50" i="1"/>
  <c r="O49" i="1"/>
  <c r="C49" i="1"/>
  <c r="O48" i="1"/>
  <c r="C48" i="1"/>
  <c r="O47" i="1"/>
  <c r="C47" i="1"/>
  <c r="O46" i="1"/>
  <c r="C46" i="1"/>
  <c r="O45" i="1"/>
  <c r="C45" i="1"/>
  <c r="O44" i="1"/>
  <c r="C44" i="1"/>
  <c r="O43" i="1"/>
  <c r="C43" i="1"/>
  <c r="O42" i="1"/>
  <c r="C42" i="1"/>
  <c r="O41" i="1"/>
  <c r="C41" i="1"/>
  <c r="O40" i="1"/>
  <c r="C40" i="1"/>
  <c r="O39" i="1"/>
  <c r="C39" i="1"/>
  <c r="O38" i="1"/>
  <c r="C38" i="1"/>
  <c r="O37" i="1"/>
  <c r="C37" i="1"/>
  <c r="O36" i="1"/>
  <c r="C36" i="1"/>
  <c r="O35" i="1"/>
  <c r="C35" i="1"/>
  <c r="O34" i="1"/>
  <c r="C34" i="1"/>
  <c r="O33" i="1"/>
  <c r="C33" i="1"/>
  <c r="O32" i="1"/>
  <c r="C32" i="1"/>
  <c r="O31" i="1"/>
  <c r="C31" i="1"/>
  <c r="O30" i="1"/>
  <c r="C30" i="1"/>
  <c r="O29" i="1"/>
  <c r="C29" i="1"/>
  <c r="O28" i="1"/>
  <c r="C28" i="1"/>
  <c r="O27" i="1"/>
  <c r="C27" i="1"/>
  <c r="O26" i="1"/>
  <c r="C26" i="1"/>
  <c r="O25" i="1"/>
  <c r="C25" i="1"/>
  <c r="O24" i="1"/>
  <c r="C24" i="1"/>
  <c r="O23" i="1"/>
  <c r="C23" i="1"/>
  <c r="O22" i="1"/>
  <c r="C22" i="1"/>
  <c r="O21" i="1"/>
  <c r="C21" i="1"/>
  <c r="O20" i="1"/>
  <c r="C20" i="1"/>
  <c r="O19" i="1"/>
  <c r="C19" i="1"/>
  <c r="O18" i="1"/>
  <c r="C18" i="1"/>
  <c r="O17" i="1"/>
  <c r="C17" i="1"/>
  <c r="O16" i="1"/>
  <c r="C16" i="1"/>
  <c r="O15" i="1"/>
  <c r="C15" i="1"/>
  <c r="O14" i="1"/>
  <c r="C14" i="1"/>
  <c r="O13" i="1"/>
  <c r="C13" i="1"/>
  <c r="O12" i="1"/>
  <c r="C12" i="1"/>
  <c r="O11" i="1"/>
  <c r="C11" i="1"/>
  <c r="O10" i="1"/>
  <c r="C10" i="1"/>
  <c r="O9" i="1"/>
  <c r="C9" i="1"/>
  <c r="O8" i="1"/>
  <c r="C8" i="1"/>
  <c r="O7" i="1"/>
  <c r="C7" i="1"/>
  <c r="O6" i="1"/>
  <c r="C6" i="1"/>
  <c r="O5" i="1"/>
  <c r="C5" i="1"/>
  <c r="O4" i="1"/>
  <c r="C4" i="1"/>
  <c r="O3" i="1"/>
  <c r="C3" i="1"/>
  <c r="O2" i="1"/>
  <c r="C2" i="1"/>
  <c r="O1" i="1"/>
  <c r="C1" i="1"/>
  <c r="E4" i="3"/>
  <c r="D4" i="3"/>
  <c r="C4" i="3"/>
  <c r="B4" i="3"/>
</calcChain>
</file>

<file path=xl/sharedStrings.xml><?xml version="1.0" encoding="utf-8"?>
<sst xmlns="http://schemas.openxmlformats.org/spreadsheetml/2006/main" count="2080" uniqueCount="323">
  <si>
    <t>ORD0001</t>
  </si>
  <si>
    <t xml:space="preserve"> Mar</t>
  </si>
  <si>
    <t>Emma Clark</t>
  </si>
  <si>
    <t>Footwear</t>
  </si>
  <si>
    <t>Running Shoes</t>
  </si>
  <si>
    <t>New York</t>
  </si>
  <si>
    <t>Amazon Pay</t>
  </si>
  <si>
    <t>Cancelled</t>
  </si>
  <si>
    <t>ORD0003</t>
  </si>
  <si>
    <t xml:space="preserve"> Feb</t>
  </si>
  <si>
    <t>John Doe</t>
  </si>
  <si>
    <t>Denver</t>
  </si>
  <si>
    <t>Credit Card</t>
  </si>
  <si>
    <t>ORD0010</t>
  </si>
  <si>
    <t>Emily Johnson</t>
  </si>
  <si>
    <t>Electronics</t>
  </si>
  <si>
    <t>Smartphone</t>
  </si>
  <si>
    <t>San Francisco</t>
  </si>
  <si>
    <t>ORD0014</t>
  </si>
  <si>
    <t>Michael Brown</t>
  </si>
  <si>
    <t>Home Appliances</t>
  </si>
  <si>
    <t>Washing Machine</t>
  </si>
  <si>
    <t>Miami</t>
  </si>
  <si>
    <t>ORD0016</t>
  </si>
  <si>
    <t>Refrigerator</t>
  </si>
  <si>
    <t>Boston</t>
  </si>
  <si>
    <t>Debit Card</t>
  </si>
  <si>
    <t>ORD0021</t>
  </si>
  <si>
    <t>Chris White</t>
  </si>
  <si>
    <t>Headphones</t>
  </si>
  <si>
    <t>ORD0024</t>
  </si>
  <si>
    <t>Dallas</t>
  </si>
  <si>
    <t>ORD0026</t>
  </si>
  <si>
    <t>Olivia Wilson</t>
  </si>
  <si>
    <t>ORD0029</t>
  </si>
  <si>
    <t>Sophia Miller</t>
  </si>
  <si>
    <t>Gift Card</t>
  </si>
  <si>
    <t>ORD0030</t>
  </si>
  <si>
    <t>ORD0033</t>
  </si>
  <si>
    <t>Books</t>
  </si>
  <si>
    <t>Book</t>
  </si>
  <si>
    <t>Paypal</t>
  </si>
  <si>
    <t>ORD0036</t>
  </si>
  <si>
    <t>ORD0037</t>
  </si>
  <si>
    <t>ORD0041</t>
  </si>
  <si>
    <t>Jane Smith</t>
  </si>
  <si>
    <t>ORD0042</t>
  </si>
  <si>
    <t>Chicago</t>
  </si>
  <si>
    <t>ORD0046</t>
  </si>
  <si>
    <t>David Lee</t>
  </si>
  <si>
    <t>Houston</t>
  </si>
  <si>
    <t>ORD0047</t>
  </si>
  <si>
    <t>Clothing</t>
  </si>
  <si>
    <t>T-Shirt</t>
  </si>
  <si>
    <t>ORD0051</t>
  </si>
  <si>
    <t>ORD0057</t>
  </si>
  <si>
    <t>Los Angeles</t>
  </si>
  <si>
    <t>ORD0058</t>
  </si>
  <si>
    <t>ORD0059</t>
  </si>
  <si>
    <t xml:space="preserve"> Apr</t>
  </si>
  <si>
    <t>Daniel Harris</t>
  </si>
  <si>
    <t>Smartwatch</t>
  </si>
  <si>
    <t>ORD0061</t>
  </si>
  <si>
    <t>ORD0068</t>
  </si>
  <si>
    <t>ORD0073</t>
  </si>
  <si>
    <t>ORD0074</t>
  </si>
  <si>
    <t>ORD0078</t>
  </si>
  <si>
    <t>ORD0079</t>
  </si>
  <si>
    <t>ORD0081</t>
  </si>
  <si>
    <t>ORD0082</t>
  </si>
  <si>
    <t>Seattle</t>
  </si>
  <si>
    <t>ORD0083</t>
  </si>
  <si>
    <t>ORD0086</t>
  </si>
  <si>
    <t>ORD0089</t>
  </si>
  <si>
    <t>ORD0092</t>
  </si>
  <si>
    <t>ORD0093</t>
  </si>
  <si>
    <t>ORD0094</t>
  </si>
  <si>
    <t>Jeans</t>
  </si>
  <si>
    <t>ORD0095</t>
  </si>
  <si>
    <t>ORD0100</t>
  </si>
  <si>
    <t>ORD0107</t>
  </si>
  <si>
    <t>ORD0112</t>
  </si>
  <si>
    <t>ORD0122</t>
  </si>
  <si>
    <t>Laptop</t>
  </si>
  <si>
    <t>ORD0123</t>
  </si>
  <si>
    <t>ORD0128</t>
  </si>
  <si>
    <t>ORD0136</t>
  </si>
  <si>
    <t>ORD0138</t>
  </si>
  <si>
    <t>ORD0139</t>
  </si>
  <si>
    <t>ORD0143</t>
  </si>
  <si>
    <t>ORD0144</t>
  </si>
  <si>
    <t>ORD0145</t>
  </si>
  <si>
    <t>ORD0148</t>
  </si>
  <si>
    <t>ORD0150</t>
  </si>
  <si>
    <t>ORD0156</t>
  </si>
  <si>
    <t>ORD0159</t>
  </si>
  <si>
    <t>ORD0160</t>
  </si>
  <si>
    <t>ORD0172</t>
  </si>
  <si>
    <t>ORD0175</t>
  </si>
  <si>
    <t>ORD0179</t>
  </si>
  <si>
    <t>ORD0181</t>
  </si>
  <si>
    <t>ORD0194</t>
  </si>
  <si>
    <t>ORD0195</t>
  </si>
  <si>
    <t>ORD0202</t>
  </si>
  <si>
    <t>ORD0213</t>
  </si>
  <si>
    <t>ORD0218</t>
  </si>
  <si>
    <t>ORD0219</t>
  </si>
  <si>
    <t>ORD0221</t>
  </si>
  <si>
    <t>ORD0222</t>
  </si>
  <si>
    <t>ORD0223</t>
  </si>
  <si>
    <t>ORD0225</t>
  </si>
  <si>
    <t>ORD0227</t>
  </si>
  <si>
    <t>ORD0231</t>
  </si>
  <si>
    <t>ORD0233</t>
  </si>
  <si>
    <t>ORD0234</t>
  </si>
  <si>
    <t>ORD0237</t>
  </si>
  <si>
    <t>ORD0245</t>
  </si>
  <si>
    <t>ORD0246</t>
  </si>
  <si>
    <t>ORD0247</t>
  </si>
  <si>
    <t>ORD0248</t>
  </si>
  <si>
    <t>ORD0249</t>
  </si>
  <si>
    <t>ORD0007</t>
  </si>
  <si>
    <t>Completed</t>
  </si>
  <si>
    <t>ORD0008</t>
  </si>
  <si>
    <t>ORD0009</t>
  </si>
  <si>
    <t>ORD0012</t>
  </si>
  <si>
    <t>ORD0015</t>
  </si>
  <si>
    <t>ORD0017</t>
  </si>
  <si>
    <t>ORD0018</t>
  </si>
  <si>
    <t>ORD0019</t>
  </si>
  <si>
    <t>ORD0025</t>
  </si>
  <si>
    <t>ORD0028</t>
  </si>
  <si>
    <t>ORD0035</t>
  </si>
  <si>
    <t>ORD0038</t>
  </si>
  <si>
    <t>ORD0039</t>
  </si>
  <si>
    <t>ORD0048</t>
  </si>
  <si>
    <t>ORD0049</t>
  </si>
  <si>
    <t>ORD0050</t>
  </si>
  <si>
    <t>ORD0053</t>
  </si>
  <si>
    <t>ORD0055</t>
  </si>
  <si>
    <t>ORD0056</t>
  </si>
  <si>
    <t>ORD0062</t>
  </si>
  <si>
    <t>ORD0063</t>
  </si>
  <si>
    <t>ORD0070</t>
  </si>
  <si>
    <t>ORD0076</t>
  </si>
  <si>
    <t>ORD0077</t>
  </si>
  <si>
    <t>ORD0084</t>
  </si>
  <si>
    <t>ORD0085</t>
  </si>
  <si>
    <t>ORD0087</t>
  </si>
  <si>
    <t>ORD0090</t>
  </si>
  <si>
    <t>ORD0096</t>
  </si>
  <si>
    <t>ORD0099</t>
  </si>
  <si>
    <t>ORD0109</t>
  </si>
  <si>
    <t>ORD0111</t>
  </si>
  <si>
    <t>ORD0115</t>
  </si>
  <si>
    <t>ORD0116</t>
  </si>
  <si>
    <t>ORD0117</t>
  </si>
  <si>
    <t>ORD0118</t>
  </si>
  <si>
    <t>ORD0120</t>
  </si>
  <si>
    <t>ORD0125</t>
  </si>
  <si>
    <t>ORD0127</t>
  </si>
  <si>
    <t>ORD0130</t>
  </si>
  <si>
    <t>ORD0137</t>
  </si>
  <si>
    <t>ORD0140</t>
  </si>
  <si>
    <t>ORD0141</t>
  </si>
  <si>
    <t>ORD0142</t>
  </si>
  <si>
    <t>ORD0146</t>
  </si>
  <si>
    <t>ORD0152</t>
  </si>
  <si>
    <t>ORD0154</t>
  </si>
  <si>
    <t>ORD0161</t>
  </si>
  <si>
    <t>ORD0162</t>
  </si>
  <si>
    <t>ORD0163</t>
  </si>
  <si>
    <t>ORD0167</t>
  </si>
  <si>
    <t>ORD0169</t>
  </si>
  <si>
    <t>ORD0171</t>
  </si>
  <si>
    <t>ORD0173</t>
  </si>
  <si>
    <t>ORD0176</t>
  </si>
  <si>
    <t>ORD0178</t>
  </si>
  <si>
    <t>ORD0180</t>
  </si>
  <si>
    <t>ORD0182</t>
  </si>
  <si>
    <t>ORD0185</t>
  </si>
  <si>
    <t>ORD0186</t>
  </si>
  <si>
    <t>ORD0188</t>
  </si>
  <si>
    <t>ORD0189</t>
  </si>
  <si>
    <t>ORD0190</t>
  </si>
  <si>
    <t>ORD0197</t>
  </si>
  <si>
    <t>ORD0199</t>
  </si>
  <si>
    <t>ORD0200</t>
  </si>
  <si>
    <t>ORD0201</t>
  </si>
  <si>
    <t>ORD0203</t>
  </si>
  <si>
    <t>ORD0205</t>
  </si>
  <si>
    <t>ORD0207</t>
  </si>
  <si>
    <t>ORD0208</t>
  </si>
  <si>
    <t>ORD0209</t>
  </si>
  <si>
    <t>ORD0210</t>
  </si>
  <si>
    <t>ORD0212</t>
  </si>
  <si>
    <t>ORD0214</t>
  </si>
  <si>
    <t>ORD0215</t>
  </si>
  <si>
    <t>ORD0216</t>
  </si>
  <si>
    <t>ORD0220</t>
  </si>
  <si>
    <t>ORD0224</t>
  </si>
  <si>
    <t>ORD0226</t>
  </si>
  <si>
    <t>ORD0232</t>
  </si>
  <si>
    <t>ORD0235</t>
  </si>
  <si>
    <t>ORD0236</t>
  </si>
  <si>
    <t>ORD0238</t>
  </si>
  <si>
    <t>ORD0239</t>
  </si>
  <si>
    <t>ORD0243</t>
  </si>
  <si>
    <t>ORD0244</t>
  </si>
  <si>
    <t>ORD0250</t>
  </si>
  <si>
    <t>ORD0002</t>
  </si>
  <si>
    <t>Pending</t>
  </si>
  <si>
    <t>ORD0004</t>
  </si>
  <si>
    <t>ORD0005</t>
  </si>
  <si>
    <t>ORD0006</t>
  </si>
  <si>
    <t>ORD0011</t>
  </si>
  <si>
    <t>ORD0013</t>
  </si>
  <si>
    <t>ORD0020</t>
  </si>
  <si>
    <t>ORD0022</t>
  </si>
  <si>
    <t>ORD0023</t>
  </si>
  <si>
    <t>ORD0027</t>
  </si>
  <si>
    <t>ORD0031</t>
  </si>
  <si>
    <t>ORD0032</t>
  </si>
  <si>
    <t>ORD0034</t>
  </si>
  <si>
    <t>ORD0040</t>
  </si>
  <si>
    <t>ORD0043</t>
  </si>
  <si>
    <t>ORD0044</t>
  </si>
  <si>
    <t>ORD0045</t>
  </si>
  <si>
    <t>ORD0052</t>
  </si>
  <si>
    <t>ORD0054</t>
  </si>
  <si>
    <t>ORD0060</t>
  </si>
  <si>
    <t>ORD0064</t>
  </si>
  <si>
    <t>ORD0065</t>
  </si>
  <si>
    <t>ORD0066</t>
  </si>
  <si>
    <t>ORD0067</t>
  </si>
  <si>
    <t>ORD0069</t>
  </si>
  <si>
    <t>ORD0071</t>
  </si>
  <si>
    <t>ORD0072</t>
  </si>
  <si>
    <t>ORD0075</t>
  </si>
  <si>
    <t>ORD0080</t>
  </si>
  <si>
    <t>ORD0088</t>
  </si>
  <si>
    <t>ORD0091</t>
  </si>
  <si>
    <t>ORD0097</t>
  </si>
  <si>
    <t>ORD0098</t>
  </si>
  <si>
    <t>ORD0101</t>
  </si>
  <si>
    <t>ORD0102</t>
  </si>
  <si>
    <t>ORD0103</t>
  </si>
  <si>
    <t>ORD0104</t>
  </si>
  <si>
    <t>ORD0105</t>
  </si>
  <si>
    <t>ORD0106</t>
  </si>
  <si>
    <t>ORD0108</t>
  </si>
  <si>
    <t>ORD0110</t>
  </si>
  <si>
    <t>ORD0113</t>
  </si>
  <si>
    <t>ORD0114</t>
  </si>
  <si>
    <t>ORD0119</t>
  </si>
  <si>
    <t>ORD0121</t>
  </si>
  <si>
    <t>ORD0124</t>
  </si>
  <si>
    <t>ORD0126</t>
  </si>
  <si>
    <t>ORD0129</t>
  </si>
  <si>
    <t>ORD0131</t>
  </si>
  <si>
    <t>ORD0132</t>
  </si>
  <si>
    <t>ORD0133</t>
  </si>
  <si>
    <t>ORD0134</t>
  </si>
  <si>
    <t>ORD0135</t>
  </si>
  <si>
    <t>ORD0147</t>
  </si>
  <si>
    <t>ORD0149</t>
  </si>
  <si>
    <t>ORD0151</t>
  </si>
  <si>
    <t>ORD0153</t>
  </si>
  <si>
    <t>ORD0155</t>
  </si>
  <si>
    <t>ORD0157</t>
  </si>
  <si>
    <t>ORD0158</t>
  </si>
  <si>
    <t>ORD0164</t>
  </si>
  <si>
    <t>ORD0165</t>
  </si>
  <si>
    <t>ORD0166</t>
  </si>
  <si>
    <t>ORD0168</t>
  </si>
  <si>
    <t>ORD0170</t>
  </si>
  <si>
    <t>ORD0174</t>
  </si>
  <si>
    <t>ORD0177</t>
  </si>
  <si>
    <t>ORD0183</t>
  </si>
  <si>
    <t>ORD0184</t>
  </si>
  <si>
    <t>ORD0187</t>
  </si>
  <si>
    <t>ORD0191</t>
  </si>
  <si>
    <t>ORD0192</t>
  </si>
  <si>
    <t>ORD0193</t>
  </si>
  <si>
    <t>ORD0196</t>
  </si>
  <si>
    <t>ORD0198</t>
  </si>
  <si>
    <t>ORD0204</t>
  </si>
  <si>
    <t>ORD0206</t>
  </si>
  <si>
    <t>ORD0211</t>
  </si>
  <si>
    <t>ORD0217</t>
  </si>
  <si>
    <t>ORD0228</t>
  </si>
  <si>
    <t>ORD0229</t>
  </si>
  <si>
    <t>ORD0230</t>
  </si>
  <si>
    <t>ORD0240</t>
  </si>
  <si>
    <t>ORD0241</t>
  </si>
  <si>
    <t>ORD0242</t>
  </si>
  <si>
    <t>Category-wise Total Sales</t>
  </si>
  <si>
    <t>Product-wise Performance</t>
  </si>
  <si>
    <t>Payment Method Usage</t>
  </si>
  <si>
    <t>Order Status Distribution</t>
  </si>
  <si>
    <t>Category</t>
  </si>
  <si>
    <t>Sum of Total Sales</t>
  </si>
  <si>
    <t>Product</t>
  </si>
  <si>
    <t>Payment Method</t>
  </si>
  <si>
    <t>Count of Order ID</t>
  </si>
  <si>
    <t>Status Flag</t>
  </si>
  <si>
    <t>Grand Total</t>
  </si>
  <si>
    <t>Top Customers by Total Spending</t>
  </si>
  <si>
    <t>City-wise Total Sales</t>
  </si>
  <si>
    <t>Customer Name</t>
  </si>
  <si>
    <t>Total Spending</t>
  </si>
  <si>
    <t>Customer Location</t>
  </si>
  <si>
    <t xml:space="preserve">Orders based on Status </t>
  </si>
  <si>
    <t>Orders Cancelled %</t>
  </si>
  <si>
    <t>Orders Pending %</t>
  </si>
  <si>
    <t>Orders Completed %</t>
  </si>
  <si>
    <t>Total Orders %</t>
  </si>
  <si>
    <t xml:space="preserve">Measures for KPI </t>
  </si>
  <si>
    <t>Average of Price</t>
  </si>
  <si>
    <t>Max of Price</t>
  </si>
  <si>
    <t>Min of Price</t>
  </si>
  <si>
    <t>Orders - Status Pivot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</si>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</sst>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,&quot;K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2" fillId="3" borderId="0" xfId="0" applyFont="1" applyFill="1" applyAlignment="1">
      <alignment horizontal="center"/>
    </xf>
    <xf numFmtId="0" fontId="4" fillId="4" borderId="4" xfId="0" applyFont="1" applyFill="1" applyBorder="1"/>
    <xf numFmtId="9" fontId="5" fillId="5" borderId="5" xfId="0" applyNumberFormat="1" applyFont="1" applyFill="1" applyBorder="1"/>
    <xf numFmtId="9" fontId="1" fillId="0" borderId="0" xfId="1" applyFont="1"/>
    <xf numFmtId="9" fontId="0" fillId="0" borderId="0" xfId="1" applyFont="1"/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1" formatCode="0"/>
    </dxf>
    <dxf>
      <numFmt numFmtId="164" formatCode="0.0,&quot;K&quot;"/>
    </dxf>
    <dxf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solid">
          <fgColor rgb="FFD9E1F2"/>
          <bgColor rgb="FFD9E1F2"/>
        </patternFill>
      </fill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solid">
          <fgColor rgb="FFD9E1F2"/>
          <bgColor rgb="FFD9E1F2"/>
        </patternFill>
      </fill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  <dxf>
      <numFmt numFmtId="164" formatCode="0.0,&quot;K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D%20EXCEL%20INNO\Module%20Project\Cleaned_Amazon_Sales_Data.xlsx" TargetMode="External"/><Relationship Id="rId1" Type="http://schemas.openxmlformats.org/officeDocument/2006/relationships/externalLinkPath" Target="Cleaned_Amazon_Sale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_Amazon_data"/>
      <sheetName val="Pivot_Tables"/>
      <sheetName val="KPI"/>
      <sheetName val="Amazon_Sales_Dashboard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Amazon_Sales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YADAV" refreshedDate="45994.63886284722" createdVersion="8" refreshedVersion="8" minRefreshableVersion="3" recordCount="250" xr:uid="{23A6BC1A-3E05-4415-A427-BF0CA7E11A55}">
  <cacheSource type="worksheet">
    <worksheetSource name="Table1" r:id="rId2"/>
  </cacheSource>
  <cacheFields count="15">
    <cacheField name="Order ID" numFmtId="0">
      <sharedItems count="250">
        <s v="ORD0001"/>
        <s v="ORD0003"/>
        <s v="ORD0010"/>
        <s v="ORD0014"/>
        <s v="ORD0016"/>
        <s v="ORD0021"/>
        <s v="ORD0024"/>
        <s v="ORD0026"/>
        <s v="ORD0029"/>
        <s v="ORD0030"/>
        <s v="ORD0033"/>
        <s v="ORD0036"/>
        <s v="ORD0037"/>
        <s v="ORD0041"/>
        <s v="ORD0042"/>
        <s v="ORD0046"/>
        <s v="ORD0047"/>
        <s v="ORD0051"/>
        <s v="ORD0057"/>
        <s v="ORD0058"/>
        <s v="ORD0059"/>
        <s v="ORD0061"/>
        <s v="ORD0068"/>
        <s v="ORD0073"/>
        <s v="ORD0074"/>
        <s v="ORD0078"/>
        <s v="ORD0079"/>
        <s v="ORD0081"/>
        <s v="ORD0082"/>
        <s v="ORD0083"/>
        <s v="ORD0086"/>
        <s v="ORD0089"/>
        <s v="ORD0092"/>
        <s v="ORD0093"/>
        <s v="ORD0094"/>
        <s v="ORD0095"/>
        <s v="ORD0100"/>
        <s v="ORD0107"/>
        <s v="ORD0112"/>
        <s v="ORD0122"/>
        <s v="ORD0123"/>
        <s v="ORD0128"/>
        <s v="ORD0136"/>
        <s v="ORD0138"/>
        <s v="ORD0139"/>
        <s v="ORD0143"/>
        <s v="ORD0144"/>
        <s v="ORD0145"/>
        <s v="ORD0148"/>
        <s v="ORD0150"/>
        <s v="ORD0156"/>
        <s v="ORD0159"/>
        <s v="ORD0160"/>
        <s v="ORD0172"/>
        <s v="ORD0175"/>
        <s v="ORD0179"/>
        <s v="ORD0181"/>
        <s v="ORD0194"/>
        <s v="ORD0195"/>
        <s v="ORD0202"/>
        <s v="ORD0213"/>
        <s v="ORD0218"/>
        <s v="ORD0219"/>
        <s v="ORD0221"/>
        <s v="ORD0222"/>
        <s v="ORD0223"/>
        <s v="ORD0225"/>
        <s v="ORD0227"/>
        <s v="ORD0231"/>
        <s v="ORD0233"/>
        <s v="ORD0234"/>
        <s v="ORD0237"/>
        <s v="ORD0245"/>
        <s v="ORD0246"/>
        <s v="ORD0247"/>
        <s v="ORD0248"/>
        <s v="ORD0249"/>
        <s v="ORD0007"/>
        <s v="ORD0008"/>
        <s v="ORD0009"/>
        <s v="ORD0012"/>
        <s v="ORD0015"/>
        <s v="ORD0017"/>
        <s v="ORD0018"/>
        <s v="ORD0019"/>
        <s v="ORD0025"/>
        <s v="ORD0028"/>
        <s v="ORD0035"/>
        <s v="ORD0038"/>
        <s v="ORD0039"/>
        <s v="ORD0048"/>
        <s v="ORD0049"/>
        <s v="ORD0050"/>
        <s v="ORD0053"/>
        <s v="ORD0055"/>
        <s v="ORD0056"/>
        <s v="ORD0062"/>
        <s v="ORD0063"/>
        <s v="ORD0070"/>
        <s v="ORD0076"/>
        <s v="ORD0077"/>
        <s v="ORD0084"/>
        <s v="ORD0085"/>
        <s v="ORD0087"/>
        <s v="ORD0090"/>
        <s v="ORD0096"/>
        <s v="ORD0099"/>
        <s v="ORD0109"/>
        <s v="ORD0111"/>
        <s v="ORD0115"/>
        <s v="ORD0116"/>
        <s v="ORD0117"/>
        <s v="ORD0118"/>
        <s v="ORD0120"/>
        <s v="ORD0125"/>
        <s v="ORD0127"/>
        <s v="ORD0130"/>
        <s v="ORD0137"/>
        <s v="ORD0140"/>
        <s v="ORD0141"/>
        <s v="ORD0142"/>
        <s v="ORD0146"/>
        <s v="ORD0152"/>
        <s v="ORD0154"/>
        <s v="ORD0161"/>
        <s v="ORD0162"/>
        <s v="ORD0163"/>
        <s v="ORD0167"/>
        <s v="ORD0169"/>
        <s v="ORD0171"/>
        <s v="ORD0173"/>
        <s v="ORD0176"/>
        <s v="ORD0178"/>
        <s v="ORD0180"/>
        <s v="ORD0182"/>
        <s v="ORD0185"/>
        <s v="ORD0186"/>
        <s v="ORD0188"/>
        <s v="ORD0189"/>
        <s v="ORD0190"/>
        <s v="ORD0197"/>
        <s v="ORD0199"/>
        <s v="ORD0200"/>
        <s v="ORD0201"/>
        <s v="ORD0203"/>
        <s v="ORD0205"/>
        <s v="ORD0207"/>
        <s v="ORD0208"/>
        <s v="ORD0209"/>
        <s v="ORD0210"/>
        <s v="ORD0212"/>
        <s v="ORD0214"/>
        <s v="ORD0215"/>
        <s v="ORD0216"/>
        <s v="ORD0220"/>
        <s v="ORD0224"/>
        <s v="ORD0226"/>
        <s v="ORD0232"/>
        <s v="ORD0235"/>
        <s v="ORD0236"/>
        <s v="ORD0238"/>
        <s v="ORD0239"/>
        <s v="ORD0243"/>
        <s v="ORD0244"/>
        <s v="ORD0250"/>
        <s v="ORD0002"/>
        <s v="ORD0004"/>
        <s v="ORD0005"/>
        <s v="ORD0006"/>
        <s v="ORD0011"/>
        <s v="ORD0013"/>
        <s v="ORD0020"/>
        <s v="ORD0022"/>
        <s v="ORD0023"/>
        <s v="ORD0027"/>
        <s v="ORD0031"/>
        <s v="ORD0032"/>
        <s v="ORD0034"/>
        <s v="ORD0040"/>
        <s v="ORD0043"/>
        <s v="ORD0044"/>
        <s v="ORD0045"/>
        <s v="ORD0052"/>
        <s v="ORD0054"/>
        <s v="ORD0060"/>
        <s v="ORD0064"/>
        <s v="ORD0065"/>
        <s v="ORD0066"/>
        <s v="ORD0067"/>
        <s v="ORD0069"/>
        <s v="ORD0071"/>
        <s v="ORD0072"/>
        <s v="ORD0075"/>
        <s v="ORD0080"/>
        <s v="ORD0088"/>
        <s v="ORD0091"/>
        <s v="ORD0097"/>
        <s v="ORD0098"/>
        <s v="ORD0101"/>
        <s v="ORD0102"/>
        <s v="ORD0103"/>
        <s v="ORD0104"/>
        <s v="ORD0105"/>
        <s v="ORD0106"/>
        <s v="ORD0108"/>
        <s v="ORD0110"/>
        <s v="ORD0113"/>
        <s v="ORD0114"/>
        <s v="ORD0119"/>
        <s v="ORD0121"/>
        <s v="ORD0124"/>
        <s v="ORD0126"/>
        <s v="ORD0129"/>
        <s v="ORD0131"/>
        <s v="ORD0132"/>
        <s v="ORD0133"/>
        <s v="ORD0134"/>
        <s v="ORD0135"/>
        <s v="ORD0147"/>
        <s v="ORD0149"/>
        <s v="ORD0151"/>
        <s v="ORD0153"/>
        <s v="ORD0155"/>
        <s v="ORD0157"/>
        <s v="ORD0158"/>
        <s v="ORD0164"/>
        <s v="ORD0165"/>
        <s v="ORD0166"/>
        <s v="ORD0168"/>
        <s v="ORD0170"/>
        <s v="ORD0174"/>
        <s v="ORD0177"/>
        <s v="ORD0183"/>
        <s v="ORD0184"/>
        <s v="ORD0187"/>
        <s v="ORD0191"/>
        <s v="ORD0192"/>
        <s v="ORD0193"/>
        <s v="ORD0196"/>
        <s v="ORD0198"/>
        <s v="ORD0204"/>
        <s v="ORD0206"/>
        <s v="ORD0211"/>
        <s v="ORD0217"/>
        <s v="ORD0228"/>
        <s v="ORD0229"/>
        <s v="ORD0230"/>
        <s v="ORD0240"/>
        <s v="ORD0241"/>
        <s v="ORD0242"/>
      </sharedItems>
    </cacheField>
    <cacheField name="Date" numFmtId="14">
      <sharedItems containsSemiMixedTypes="0" containsNonDate="0" containsDate="1" containsString="0" minDate="2025-02-02T00:00:00" maxDate="2025-04-03T00:00:00"/>
    </cacheField>
    <cacheField name="Day" numFmtId="0">
      <sharedItems/>
    </cacheField>
    <cacheField name="Month" numFmtId="0">
      <sharedItems count="3">
        <s v=" Mar"/>
        <s v=" Feb"/>
        <s v=" Apr"/>
      </sharedItems>
    </cacheField>
    <cacheField name="Year" numFmtId="0">
      <sharedItems containsSemiMixedTypes="0" containsString="0" containsNumber="1" containsInteger="1" minValue="2025" maxValue="2025"/>
    </cacheField>
    <cacheField name="Customer Name" numFmtId="0">
      <sharedItems count="10">
        <s v="Emma Clark"/>
        <s v="John Doe"/>
        <s v="Emily Johnson"/>
        <s v="Michael Brown"/>
        <s v="Chris White"/>
        <s v="Olivia Wilson"/>
        <s v="Sophia Miller"/>
        <s v="Jane Smith"/>
        <s v="David Lee"/>
        <s v="Daniel Harris"/>
      </sharedItems>
    </cacheField>
    <cacheField name="Category" numFmtId="0">
      <sharedItems count="5">
        <s v="Footwear"/>
        <s v="Electronics"/>
        <s v="Home Appliances"/>
        <s v="Books"/>
        <s v="Clothing"/>
      </sharedItems>
    </cacheField>
    <cacheField name="Product" numFmtId="0">
      <sharedItems count="10">
        <s v="Running Shoes"/>
        <s v="Smartphone"/>
        <s v="Washing Machine"/>
        <s v="Refrigerator"/>
        <s v="Headphones"/>
        <s v="Book"/>
        <s v="T-Shirt"/>
        <s v="Smartwatch"/>
        <s v="Jeans"/>
        <s v="Laptop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5" maxValue="1200"/>
    </cacheField>
    <cacheField name="Total Sales" numFmtId="0">
      <sharedItems containsSemiMixedTypes="0" containsString="0" containsNumber="1" containsInteger="1" minValue="15" maxValue="6000" count="36">
        <n v="180"/>
        <n v="120"/>
        <n v="500"/>
        <n v="1800"/>
        <n v="1200"/>
        <n v="300"/>
        <n v="3600"/>
        <n v="600"/>
        <n v="15"/>
        <n v="2400"/>
        <n v="40"/>
        <n v="100"/>
        <n v="2500"/>
        <n v="4800"/>
        <n v="1500"/>
        <n v="750"/>
        <n v="1000"/>
        <n v="6000"/>
        <n v="200"/>
        <n v="60"/>
        <n v="45"/>
        <n v="1600"/>
        <n v="80"/>
        <n v="400"/>
        <n v="160"/>
        <n v="800"/>
        <n v="4000"/>
        <n v="450"/>
        <n v="20"/>
        <n v="75"/>
        <n v="2000"/>
        <n v="240"/>
        <n v="3000"/>
        <n v="3200"/>
        <n v="150"/>
        <n v="30"/>
      </sharedItems>
    </cacheField>
    <cacheField name="Customer Location" numFmtId="0">
      <sharedItems count="10">
        <s v="New York"/>
        <s v="Denver"/>
        <s v="San Francisco"/>
        <s v="Miami"/>
        <s v="Boston"/>
        <s v="Dallas"/>
        <s v="Chicago"/>
        <s v="Houston"/>
        <s v="Los Angeles"/>
        <s v="Seattle"/>
      </sharedItems>
    </cacheField>
    <cacheField name="Debit Card" numFmtId="0">
      <sharedItems count="5">
        <s v="Amazon Pay"/>
        <s v="Credit Card"/>
        <s v="Debit Card"/>
        <s v="Gift Card"/>
        <s v="Paypal"/>
      </sharedItems>
    </cacheField>
    <cacheField name="Status" numFmtId="0">
      <sharedItems/>
    </cacheField>
    <cacheField name="Status Flag" numFmtId="0">
      <sharedItems count="3">
        <s v="Cancelled"/>
        <s v="Completed"/>
        <s v="Pending"/>
      </sharedItems>
    </cacheField>
  </cacheFields>
  <extLst>
    <ext xmlns:x14="http://schemas.microsoft.com/office/spreadsheetml/2009/9/main" uri="{725AE2AE-9491-48be-B2B4-4EB974FC3084}">
      <x14:pivotCacheDefinition pivotCacheId="1639736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d v="2025-03-14T00:00:00"/>
    <s v="Friday"/>
    <x v="0"/>
    <n v="2025"/>
    <x v="0"/>
    <x v="0"/>
    <x v="0"/>
    <n v="3"/>
    <n v="60"/>
    <x v="0"/>
    <x v="0"/>
    <x v="0"/>
    <s v="Cancelled"/>
    <x v="0"/>
  </r>
  <r>
    <x v="1"/>
    <d v="2025-02-15T00:00:00"/>
    <s v="Saturday"/>
    <x v="1"/>
    <n v="2025"/>
    <x v="1"/>
    <x v="0"/>
    <x v="0"/>
    <n v="2"/>
    <n v="60"/>
    <x v="1"/>
    <x v="1"/>
    <x v="1"/>
    <s v="Cancelled"/>
    <x v="0"/>
  </r>
  <r>
    <x v="2"/>
    <d v="2025-03-12T00:00:00"/>
    <s v="Wednesday"/>
    <x v="0"/>
    <n v="2025"/>
    <x v="2"/>
    <x v="1"/>
    <x v="1"/>
    <n v="1"/>
    <n v="500"/>
    <x v="2"/>
    <x v="2"/>
    <x v="1"/>
    <s v="Cancelled"/>
    <x v="0"/>
  </r>
  <r>
    <x v="3"/>
    <d v="2025-03-04T00:00:00"/>
    <s v="Tuesday"/>
    <x v="0"/>
    <n v="2025"/>
    <x v="3"/>
    <x v="2"/>
    <x v="2"/>
    <n v="3"/>
    <n v="600"/>
    <x v="3"/>
    <x v="3"/>
    <x v="1"/>
    <s v="Cancelled"/>
    <x v="0"/>
  </r>
  <r>
    <x v="4"/>
    <d v="2025-02-26T00:00:00"/>
    <s v="Wednesday"/>
    <x v="1"/>
    <n v="2025"/>
    <x v="1"/>
    <x v="2"/>
    <x v="3"/>
    <n v="1"/>
    <n v="1200"/>
    <x v="4"/>
    <x v="4"/>
    <x v="2"/>
    <s v="Cancelled"/>
    <x v="0"/>
  </r>
  <r>
    <x v="5"/>
    <d v="2025-02-05T00:00:00"/>
    <s v="Wednesday"/>
    <x v="1"/>
    <n v="2025"/>
    <x v="4"/>
    <x v="1"/>
    <x v="4"/>
    <n v="3"/>
    <n v="100"/>
    <x v="5"/>
    <x v="3"/>
    <x v="1"/>
    <s v="Cancelled"/>
    <x v="0"/>
  </r>
  <r>
    <x v="6"/>
    <d v="2025-03-24T00:00:00"/>
    <s v="Monday"/>
    <x v="0"/>
    <n v="2025"/>
    <x v="4"/>
    <x v="2"/>
    <x v="3"/>
    <n v="3"/>
    <n v="1200"/>
    <x v="6"/>
    <x v="5"/>
    <x v="2"/>
    <s v="Cancelled"/>
    <x v="0"/>
  </r>
  <r>
    <x v="7"/>
    <d v="2025-02-14T00:00:00"/>
    <s v="Friday"/>
    <x v="1"/>
    <n v="2025"/>
    <x v="5"/>
    <x v="2"/>
    <x v="2"/>
    <n v="1"/>
    <n v="600"/>
    <x v="7"/>
    <x v="4"/>
    <x v="1"/>
    <s v="Cancelled"/>
    <x v="0"/>
  </r>
  <r>
    <x v="8"/>
    <d v="2025-02-12T00:00:00"/>
    <s v="Wednesday"/>
    <x v="1"/>
    <n v="2025"/>
    <x v="6"/>
    <x v="1"/>
    <x v="1"/>
    <n v="1"/>
    <n v="500"/>
    <x v="2"/>
    <x v="1"/>
    <x v="3"/>
    <s v="Cancelled"/>
    <x v="0"/>
  </r>
  <r>
    <x v="9"/>
    <d v="2025-02-10T00:00:00"/>
    <s v="Monday"/>
    <x v="1"/>
    <n v="2025"/>
    <x v="2"/>
    <x v="2"/>
    <x v="2"/>
    <n v="3"/>
    <n v="600"/>
    <x v="3"/>
    <x v="5"/>
    <x v="2"/>
    <s v="Cancelled"/>
    <x v="0"/>
  </r>
  <r>
    <x v="10"/>
    <d v="2025-02-04T00:00:00"/>
    <s v="Tuesday"/>
    <x v="1"/>
    <n v="2025"/>
    <x v="5"/>
    <x v="3"/>
    <x v="5"/>
    <n v="1"/>
    <n v="15"/>
    <x v="8"/>
    <x v="0"/>
    <x v="4"/>
    <s v="Cancelled"/>
    <x v="0"/>
  </r>
  <r>
    <x v="11"/>
    <d v="2025-02-09T00:00:00"/>
    <s v="Sunday"/>
    <x v="1"/>
    <n v="2025"/>
    <x v="6"/>
    <x v="2"/>
    <x v="3"/>
    <n v="2"/>
    <n v="1200"/>
    <x v="9"/>
    <x v="4"/>
    <x v="2"/>
    <s v="Cancelled"/>
    <x v="0"/>
  </r>
  <r>
    <x v="12"/>
    <d v="2025-02-16T00:00:00"/>
    <s v="Sunday"/>
    <x v="1"/>
    <n v="2025"/>
    <x v="3"/>
    <x v="1"/>
    <x v="4"/>
    <n v="3"/>
    <n v="100"/>
    <x v="5"/>
    <x v="0"/>
    <x v="1"/>
    <s v="Cancelled"/>
    <x v="0"/>
  </r>
  <r>
    <x v="13"/>
    <d v="2025-02-20T00:00:00"/>
    <s v="Thursday"/>
    <x v="1"/>
    <n v="2025"/>
    <x v="7"/>
    <x v="3"/>
    <x v="5"/>
    <n v="1"/>
    <n v="15"/>
    <x v="8"/>
    <x v="3"/>
    <x v="0"/>
    <s v="Cancelled"/>
    <x v="0"/>
  </r>
  <r>
    <x v="14"/>
    <d v="2025-03-17T00:00:00"/>
    <s v="Monday"/>
    <x v="0"/>
    <n v="2025"/>
    <x v="7"/>
    <x v="1"/>
    <x v="4"/>
    <n v="3"/>
    <n v="100"/>
    <x v="5"/>
    <x v="6"/>
    <x v="2"/>
    <s v="Cancelled"/>
    <x v="0"/>
  </r>
  <r>
    <x v="15"/>
    <d v="2025-03-06T00:00:00"/>
    <s v="Thursday"/>
    <x v="0"/>
    <n v="2025"/>
    <x v="8"/>
    <x v="0"/>
    <x v="0"/>
    <n v="2"/>
    <n v="60"/>
    <x v="1"/>
    <x v="7"/>
    <x v="3"/>
    <s v="Cancelled"/>
    <x v="0"/>
  </r>
  <r>
    <x v="16"/>
    <d v="2025-03-26T00:00:00"/>
    <s v="Wednesday"/>
    <x v="0"/>
    <n v="2025"/>
    <x v="4"/>
    <x v="4"/>
    <x v="6"/>
    <n v="2"/>
    <n v="20"/>
    <x v="10"/>
    <x v="3"/>
    <x v="3"/>
    <s v="Cancelled"/>
    <x v="0"/>
  </r>
  <r>
    <x v="17"/>
    <d v="2025-02-19T00:00:00"/>
    <s v="Wednesday"/>
    <x v="1"/>
    <n v="2025"/>
    <x v="0"/>
    <x v="3"/>
    <x v="5"/>
    <n v="1"/>
    <n v="15"/>
    <x v="8"/>
    <x v="7"/>
    <x v="2"/>
    <s v="Cancelled"/>
    <x v="0"/>
  </r>
  <r>
    <x v="18"/>
    <d v="2025-03-15T00:00:00"/>
    <s v="Saturday"/>
    <x v="0"/>
    <n v="2025"/>
    <x v="7"/>
    <x v="1"/>
    <x v="1"/>
    <n v="1"/>
    <n v="500"/>
    <x v="2"/>
    <x v="8"/>
    <x v="4"/>
    <s v="Cancelled"/>
    <x v="0"/>
  </r>
  <r>
    <x v="19"/>
    <d v="2025-03-13T00:00:00"/>
    <s v="Thursday"/>
    <x v="0"/>
    <n v="2025"/>
    <x v="7"/>
    <x v="1"/>
    <x v="1"/>
    <n v="1"/>
    <n v="500"/>
    <x v="2"/>
    <x v="6"/>
    <x v="1"/>
    <s v="Cancelled"/>
    <x v="0"/>
  </r>
  <r>
    <x v="20"/>
    <d v="2025-04-01T00:00:00"/>
    <s v="Tuesday"/>
    <x v="2"/>
    <n v="2025"/>
    <x v="9"/>
    <x v="1"/>
    <x v="7"/>
    <n v="2"/>
    <n v="150"/>
    <x v="5"/>
    <x v="5"/>
    <x v="4"/>
    <s v="Cancelled"/>
    <x v="0"/>
  </r>
  <r>
    <x v="21"/>
    <d v="2025-03-11T00:00:00"/>
    <s v="Tuesday"/>
    <x v="0"/>
    <n v="2025"/>
    <x v="7"/>
    <x v="2"/>
    <x v="3"/>
    <n v="1"/>
    <n v="1200"/>
    <x v="4"/>
    <x v="0"/>
    <x v="2"/>
    <s v="Cancelled"/>
    <x v="0"/>
  </r>
  <r>
    <x v="22"/>
    <d v="2025-02-23T00:00:00"/>
    <s v="Sunday"/>
    <x v="1"/>
    <n v="2025"/>
    <x v="8"/>
    <x v="1"/>
    <x v="4"/>
    <n v="1"/>
    <n v="100"/>
    <x v="11"/>
    <x v="7"/>
    <x v="1"/>
    <s v="Cancelled"/>
    <x v="0"/>
  </r>
  <r>
    <x v="23"/>
    <d v="2025-02-20T00:00:00"/>
    <s v="Thursday"/>
    <x v="1"/>
    <n v="2025"/>
    <x v="2"/>
    <x v="1"/>
    <x v="1"/>
    <n v="5"/>
    <n v="500"/>
    <x v="12"/>
    <x v="3"/>
    <x v="3"/>
    <s v="Cancelled"/>
    <x v="0"/>
  </r>
  <r>
    <x v="24"/>
    <d v="2025-03-25T00:00:00"/>
    <s v="Tuesday"/>
    <x v="0"/>
    <n v="2025"/>
    <x v="7"/>
    <x v="2"/>
    <x v="3"/>
    <n v="4"/>
    <n v="1200"/>
    <x v="13"/>
    <x v="5"/>
    <x v="3"/>
    <s v="Cancelled"/>
    <x v="0"/>
  </r>
  <r>
    <x v="25"/>
    <d v="2025-03-18T00:00:00"/>
    <s v="Tuesday"/>
    <x v="0"/>
    <n v="2025"/>
    <x v="0"/>
    <x v="1"/>
    <x v="7"/>
    <n v="2"/>
    <n v="150"/>
    <x v="5"/>
    <x v="8"/>
    <x v="3"/>
    <s v="Cancelled"/>
    <x v="0"/>
  </r>
  <r>
    <x v="26"/>
    <d v="2025-03-09T00:00:00"/>
    <s v="Sunday"/>
    <x v="0"/>
    <n v="2025"/>
    <x v="2"/>
    <x v="0"/>
    <x v="0"/>
    <n v="2"/>
    <n v="60"/>
    <x v="1"/>
    <x v="1"/>
    <x v="4"/>
    <s v="Cancelled"/>
    <x v="0"/>
  </r>
  <r>
    <x v="27"/>
    <d v="2025-02-26T00:00:00"/>
    <s v="Wednesday"/>
    <x v="1"/>
    <n v="2025"/>
    <x v="3"/>
    <x v="1"/>
    <x v="4"/>
    <n v="3"/>
    <n v="100"/>
    <x v="5"/>
    <x v="6"/>
    <x v="2"/>
    <s v="Cancelled"/>
    <x v="0"/>
  </r>
  <r>
    <x v="28"/>
    <d v="2025-02-24T00:00:00"/>
    <s v="Monday"/>
    <x v="1"/>
    <n v="2025"/>
    <x v="7"/>
    <x v="1"/>
    <x v="1"/>
    <n v="3"/>
    <n v="500"/>
    <x v="14"/>
    <x v="9"/>
    <x v="3"/>
    <s v="Cancelled"/>
    <x v="0"/>
  </r>
  <r>
    <x v="29"/>
    <d v="2025-02-28T00:00:00"/>
    <s v="Friday"/>
    <x v="1"/>
    <n v="2025"/>
    <x v="0"/>
    <x v="2"/>
    <x v="2"/>
    <n v="4"/>
    <n v="600"/>
    <x v="9"/>
    <x v="7"/>
    <x v="4"/>
    <s v="Cancelled"/>
    <x v="0"/>
  </r>
  <r>
    <x v="30"/>
    <d v="2025-02-25T00:00:00"/>
    <s v="Tuesday"/>
    <x v="1"/>
    <n v="2025"/>
    <x v="7"/>
    <x v="1"/>
    <x v="7"/>
    <n v="5"/>
    <n v="150"/>
    <x v="15"/>
    <x v="5"/>
    <x v="1"/>
    <s v="Cancelled"/>
    <x v="0"/>
  </r>
  <r>
    <x v="31"/>
    <d v="2025-03-26T00:00:00"/>
    <s v="Wednesday"/>
    <x v="0"/>
    <n v="2025"/>
    <x v="0"/>
    <x v="0"/>
    <x v="0"/>
    <n v="5"/>
    <n v="60"/>
    <x v="5"/>
    <x v="8"/>
    <x v="4"/>
    <s v="Cancelled"/>
    <x v="0"/>
  </r>
  <r>
    <x v="32"/>
    <d v="2025-03-15T00:00:00"/>
    <s v="Saturday"/>
    <x v="0"/>
    <n v="2025"/>
    <x v="5"/>
    <x v="1"/>
    <x v="1"/>
    <n v="2"/>
    <n v="500"/>
    <x v="16"/>
    <x v="4"/>
    <x v="4"/>
    <s v="Cancelled"/>
    <x v="0"/>
  </r>
  <r>
    <x v="33"/>
    <d v="2025-03-06T00:00:00"/>
    <s v="Thursday"/>
    <x v="0"/>
    <n v="2025"/>
    <x v="8"/>
    <x v="2"/>
    <x v="3"/>
    <n v="5"/>
    <n v="1200"/>
    <x v="17"/>
    <x v="1"/>
    <x v="1"/>
    <s v="Cancelled"/>
    <x v="0"/>
  </r>
  <r>
    <x v="34"/>
    <d v="2025-03-25T00:00:00"/>
    <s v="Tuesday"/>
    <x v="0"/>
    <n v="2025"/>
    <x v="9"/>
    <x v="4"/>
    <x v="8"/>
    <n v="5"/>
    <n v="40"/>
    <x v="18"/>
    <x v="9"/>
    <x v="2"/>
    <s v="Cancelled"/>
    <x v="0"/>
  </r>
  <r>
    <x v="35"/>
    <d v="2025-02-17T00:00:00"/>
    <s v="Monday"/>
    <x v="1"/>
    <n v="2025"/>
    <x v="4"/>
    <x v="1"/>
    <x v="7"/>
    <n v="4"/>
    <n v="150"/>
    <x v="7"/>
    <x v="0"/>
    <x v="3"/>
    <s v="Cancelled"/>
    <x v="0"/>
  </r>
  <r>
    <x v="36"/>
    <d v="2025-02-13T00:00:00"/>
    <s v="Thursday"/>
    <x v="1"/>
    <n v="2025"/>
    <x v="7"/>
    <x v="0"/>
    <x v="0"/>
    <n v="1"/>
    <n v="60"/>
    <x v="19"/>
    <x v="7"/>
    <x v="1"/>
    <s v="Cancelled"/>
    <x v="0"/>
  </r>
  <r>
    <x v="37"/>
    <d v="2025-03-19T00:00:00"/>
    <s v="Wednesday"/>
    <x v="0"/>
    <n v="2025"/>
    <x v="5"/>
    <x v="4"/>
    <x v="8"/>
    <n v="3"/>
    <n v="40"/>
    <x v="1"/>
    <x v="5"/>
    <x v="3"/>
    <s v="Cancelled"/>
    <x v="0"/>
  </r>
  <r>
    <x v="38"/>
    <d v="2025-03-06T00:00:00"/>
    <s v="Thursday"/>
    <x v="0"/>
    <n v="2025"/>
    <x v="8"/>
    <x v="2"/>
    <x v="2"/>
    <n v="2"/>
    <n v="600"/>
    <x v="4"/>
    <x v="5"/>
    <x v="1"/>
    <s v="Cancelled"/>
    <x v="0"/>
  </r>
  <r>
    <x v="39"/>
    <d v="2025-03-28T00:00:00"/>
    <s v="Friday"/>
    <x v="0"/>
    <n v="2025"/>
    <x v="1"/>
    <x v="1"/>
    <x v="9"/>
    <n v="3"/>
    <n v="800"/>
    <x v="9"/>
    <x v="3"/>
    <x v="3"/>
    <s v="Cancelled"/>
    <x v="0"/>
  </r>
  <r>
    <x v="40"/>
    <d v="2025-02-23T00:00:00"/>
    <s v="Sunday"/>
    <x v="1"/>
    <n v="2025"/>
    <x v="4"/>
    <x v="3"/>
    <x v="5"/>
    <n v="3"/>
    <n v="15"/>
    <x v="20"/>
    <x v="4"/>
    <x v="4"/>
    <s v="Cancelled"/>
    <x v="0"/>
  </r>
  <r>
    <x v="41"/>
    <d v="2025-03-23T00:00:00"/>
    <s v="Sunday"/>
    <x v="0"/>
    <n v="2025"/>
    <x v="2"/>
    <x v="1"/>
    <x v="7"/>
    <n v="2"/>
    <n v="150"/>
    <x v="5"/>
    <x v="5"/>
    <x v="4"/>
    <s v="Cancelled"/>
    <x v="0"/>
  </r>
  <r>
    <x v="42"/>
    <d v="2025-02-11T00:00:00"/>
    <s v="Tuesday"/>
    <x v="1"/>
    <n v="2025"/>
    <x v="9"/>
    <x v="2"/>
    <x v="3"/>
    <n v="2"/>
    <n v="1200"/>
    <x v="9"/>
    <x v="2"/>
    <x v="1"/>
    <s v="Cancelled"/>
    <x v="0"/>
  </r>
  <r>
    <x v="43"/>
    <d v="2025-02-11T00:00:00"/>
    <s v="Tuesday"/>
    <x v="1"/>
    <n v="2025"/>
    <x v="1"/>
    <x v="1"/>
    <x v="7"/>
    <n v="5"/>
    <n v="150"/>
    <x v="15"/>
    <x v="8"/>
    <x v="4"/>
    <s v="Cancelled"/>
    <x v="0"/>
  </r>
  <r>
    <x v="44"/>
    <d v="2025-03-18T00:00:00"/>
    <s v="Tuesday"/>
    <x v="0"/>
    <n v="2025"/>
    <x v="3"/>
    <x v="1"/>
    <x v="9"/>
    <n v="2"/>
    <n v="800"/>
    <x v="21"/>
    <x v="1"/>
    <x v="4"/>
    <s v="Cancelled"/>
    <x v="0"/>
  </r>
  <r>
    <x v="45"/>
    <d v="2025-03-31T00:00:00"/>
    <s v="Monday"/>
    <x v="0"/>
    <n v="2025"/>
    <x v="7"/>
    <x v="2"/>
    <x v="3"/>
    <n v="2"/>
    <n v="1200"/>
    <x v="9"/>
    <x v="5"/>
    <x v="3"/>
    <s v="Cancelled"/>
    <x v="0"/>
  </r>
  <r>
    <x v="46"/>
    <d v="2025-02-27T00:00:00"/>
    <s v="Thursday"/>
    <x v="1"/>
    <n v="2025"/>
    <x v="3"/>
    <x v="4"/>
    <x v="8"/>
    <n v="2"/>
    <n v="40"/>
    <x v="22"/>
    <x v="8"/>
    <x v="2"/>
    <s v="Cancelled"/>
    <x v="0"/>
  </r>
  <r>
    <x v="47"/>
    <d v="2025-03-08T00:00:00"/>
    <s v="Saturday"/>
    <x v="0"/>
    <n v="2025"/>
    <x v="3"/>
    <x v="1"/>
    <x v="7"/>
    <n v="2"/>
    <n v="150"/>
    <x v="5"/>
    <x v="9"/>
    <x v="0"/>
    <s v="Cancelled"/>
    <x v="0"/>
  </r>
  <r>
    <x v="48"/>
    <d v="2025-02-06T00:00:00"/>
    <s v="Thursday"/>
    <x v="1"/>
    <n v="2025"/>
    <x v="2"/>
    <x v="1"/>
    <x v="4"/>
    <n v="4"/>
    <n v="100"/>
    <x v="23"/>
    <x v="8"/>
    <x v="3"/>
    <s v="Cancelled"/>
    <x v="0"/>
  </r>
  <r>
    <x v="49"/>
    <d v="2025-02-08T00:00:00"/>
    <s v="Saturday"/>
    <x v="1"/>
    <n v="2025"/>
    <x v="9"/>
    <x v="3"/>
    <x v="5"/>
    <n v="4"/>
    <n v="15"/>
    <x v="19"/>
    <x v="6"/>
    <x v="4"/>
    <s v="Cancelled"/>
    <x v="0"/>
  </r>
  <r>
    <x v="50"/>
    <d v="2025-03-16T00:00:00"/>
    <s v="Sunday"/>
    <x v="0"/>
    <n v="2025"/>
    <x v="5"/>
    <x v="1"/>
    <x v="7"/>
    <n v="4"/>
    <n v="150"/>
    <x v="7"/>
    <x v="3"/>
    <x v="3"/>
    <s v="Cancelled"/>
    <x v="0"/>
  </r>
  <r>
    <x v="51"/>
    <d v="2025-02-16T00:00:00"/>
    <s v="Sunday"/>
    <x v="1"/>
    <n v="2025"/>
    <x v="8"/>
    <x v="4"/>
    <x v="6"/>
    <n v="2"/>
    <n v="20"/>
    <x v="10"/>
    <x v="5"/>
    <x v="3"/>
    <s v="Cancelled"/>
    <x v="0"/>
  </r>
  <r>
    <x v="52"/>
    <d v="2025-02-06T00:00:00"/>
    <s v="Thursday"/>
    <x v="1"/>
    <n v="2025"/>
    <x v="5"/>
    <x v="2"/>
    <x v="2"/>
    <n v="3"/>
    <n v="600"/>
    <x v="3"/>
    <x v="1"/>
    <x v="2"/>
    <s v="Cancelled"/>
    <x v="0"/>
  </r>
  <r>
    <x v="53"/>
    <d v="2025-03-12T00:00:00"/>
    <s v="Wednesday"/>
    <x v="0"/>
    <n v="2025"/>
    <x v="8"/>
    <x v="3"/>
    <x v="5"/>
    <n v="1"/>
    <n v="15"/>
    <x v="8"/>
    <x v="3"/>
    <x v="2"/>
    <s v="Cancelled"/>
    <x v="0"/>
  </r>
  <r>
    <x v="54"/>
    <d v="2025-03-24T00:00:00"/>
    <s v="Monday"/>
    <x v="0"/>
    <n v="2025"/>
    <x v="8"/>
    <x v="4"/>
    <x v="8"/>
    <n v="5"/>
    <n v="40"/>
    <x v="18"/>
    <x v="0"/>
    <x v="4"/>
    <s v="Cancelled"/>
    <x v="0"/>
  </r>
  <r>
    <x v="55"/>
    <d v="2025-03-25T00:00:00"/>
    <s v="Tuesday"/>
    <x v="0"/>
    <n v="2025"/>
    <x v="5"/>
    <x v="4"/>
    <x v="8"/>
    <n v="1"/>
    <n v="40"/>
    <x v="10"/>
    <x v="9"/>
    <x v="2"/>
    <s v="Cancelled"/>
    <x v="0"/>
  </r>
  <r>
    <x v="56"/>
    <d v="2025-03-03T00:00:00"/>
    <s v="Monday"/>
    <x v="0"/>
    <n v="2025"/>
    <x v="8"/>
    <x v="0"/>
    <x v="0"/>
    <n v="2"/>
    <n v="60"/>
    <x v="1"/>
    <x v="8"/>
    <x v="2"/>
    <s v="Cancelled"/>
    <x v="0"/>
  </r>
  <r>
    <x v="57"/>
    <d v="2025-02-20T00:00:00"/>
    <s v="Thursday"/>
    <x v="1"/>
    <n v="2025"/>
    <x v="1"/>
    <x v="4"/>
    <x v="8"/>
    <n v="4"/>
    <n v="40"/>
    <x v="24"/>
    <x v="2"/>
    <x v="3"/>
    <s v="Cancelled"/>
    <x v="0"/>
  </r>
  <r>
    <x v="58"/>
    <d v="2025-03-10T00:00:00"/>
    <s v="Monday"/>
    <x v="0"/>
    <n v="2025"/>
    <x v="5"/>
    <x v="1"/>
    <x v="1"/>
    <n v="3"/>
    <n v="500"/>
    <x v="14"/>
    <x v="1"/>
    <x v="1"/>
    <s v="Cancelled"/>
    <x v="0"/>
  </r>
  <r>
    <x v="59"/>
    <d v="2025-02-21T00:00:00"/>
    <s v="Friday"/>
    <x v="1"/>
    <n v="2025"/>
    <x v="9"/>
    <x v="1"/>
    <x v="1"/>
    <n v="2"/>
    <n v="500"/>
    <x v="16"/>
    <x v="3"/>
    <x v="0"/>
    <s v="Cancelled"/>
    <x v="0"/>
  </r>
  <r>
    <x v="60"/>
    <d v="2025-02-06T00:00:00"/>
    <s v="Thursday"/>
    <x v="1"/>
    <n v="2025"/>
    <x v="7"/>
    <x v="1"/>
    <x v="9"/>
    <n v="1"/>
    <n v="800"/>
    <x v="25"/>
    <x v="8"/>
    <x v="3"/>
    <s v="Cancelled"/>
    <x v="0"/>
  </r>
  <r>
    <x v="61"/>
    <d v="2025-02-15T00:00:00"/>
    <s v="Saturday"/>
    <x v="1"/>
    <n v="2025"/>
    <x v="9"/>
    <x v="1"/>
    <x v="4"/>
    <n v="4"/>
    <n v="100"/>
    <x v="23"/>
    <x v="0"/>
    <x v="4"/>
    <s v="Cancelled"/>
    <x v="0"/>
  </r>
  <r>
    <x v="62"/>
    <d v="2025-02-17T00:00:00"/>
    <s v="Monday"/>
    <x v="1"/>
    <n v="2025"/>
    <x v="8"/>
    <x v="1"/>
    <x v="4"/>
    <n v="3"/>
    <n v="100"/>
    <x v="5"/>
    <x v="7"/>
    <x v="3"/>
    <s v="Cancelled"/>
    <x v="0"/>
  </r>
  <r>
    <x v="63"/>
    <d v="2025-02-28T00:00:00"/>
    <s v="Friday"/>
    <x v="1"/>
    <n v="2025"/>
    <x v="2"/>
    <x v="2"/>
    <x v="2"/>
    <n v="2"/>
    <n v="600"/>
    <x v="4"/>
    <x v="6"/>
    <x v="4"/>
    <s v="Cancelled"/>
    <x v="0"/>
  </r>
  <r>
    <x v="64"/>
    <d v="2025-02-16T00:00:00"/>
    <s v="Sunday"/>
    <x v="1"/>
    <n v="2025"/>
    <x v="4"/>
    <x v="2"/>
    <x v="2"/>
    <n v="2"/>
    <n v="600"/>
    <x v="4"/>
    <x v="9"/>
    <x v="0"/>
    <s v="Cancelled"/>
    <x v="0"/>
  </r>
  <r>
    <x v="65"/>
    <d v="2025-03-24T00:00:00"/>
    <s v="Monday"/>
    <x v="0"/>
    <n v="2025"/>
    <x v="8"/>
    <x v="4"/>
    <x v="8"/>
    <n v="2"/>
    <n v="40"/>
    <x v="22"/>
    <x v="1"/>
    <x v="3"/>
    <s v="Cancelled"/>
    <x v="0"/>
  </r>
  <r>
    <x v="66"/>
    <d v="2025-03-11T00:00:00"/>
    <s v="Tuesday"/>
    <x v="0"/>
    <n v="2025"/>
    <x v="6"/>
    <x v="4"/>
    <x v="8"/>
    <n v="1"/>
    <n v="40"/>
    <x v="10"/>
    <x v="0"/>
    <x v="0"/>
    <s v="Cancelled"/>
    <x v="0"/>
  </r>
  <r>
    <x v="67"/>
    <d v="2025-04-02T00:00:00"/>
    <s v="Wednesday"/>
    <x v="2"/>
    <n v="2025"/>
    <x v="0"/>
    <x v="1"/>
    <x v="4"/>
    <n v="5"/>
    <n v="100"/>
    <x v="2"/>
    <x v="3"/>
    <x v="1"/>
    <s v="Cancelled"/>
    <x v="0"/>
  </r>
  <r>
    <x v="68"/>
    <d v="2025-02-16T00:00:00"/>
    <s v="Sunday"/>
    <x v="1"/>
    <n v="2025"/>
    <x v="7"/>
    <x v="1"/>
    <x v="9"/>
    <n v="5"/>
    <n v="800"/>
    <x v="26"/>
    <x v="4"/>
    <x v="4"/>
    <s v="Cancelled"/>
    <x v="0"/>
  </r>
  <r>
    <x v="69"/>
    <d v="2025-02-20T00:00:00"/>
    <s v="Thursday"/>
    <x v="1"/>
    <n v="2025"/>
    <x v="8"/>
    <x v="0"/>
    <x v="0"/>
    <n v="1"/>
    <n v="60"/>
    <x v="19"/>
    <x v="4"/>
    <x v="0"/>
    <s v="Cancelled"/>
    <x v="0"/>
  </r>
  <r>
    <x v="70"/>
    <d v="2025-03-08T00:00:00"/>
    <s v="Saturday"/>
    <x v="0"/>
    <n v="2025"/>
    <x v="7"/>
    <x v="3"/>
    <x v="5"/>
    <n v="1"/>
    <n v="15"/>
    <x v="8"/>
    <x v="3"/>
    <x v="2"/>
    <s v="Cancelled"/>
    <x v="0"/>
  </r>
  <r>
    <x v="71"/>
    <d v="2025-02-11T00:00:00"/>
    <s v="Tuesday"/>
    <x v="1"/>
    <n v="2025"/>
    <x v="3"/>
    <x v="1"/>
    <x v="4"/>
    <n v="3"/>
    <n v="100"/>
    <x v="5"/>
    <x v="7"/>
    <x v="1"/>
    <s v="Cancelled"/>
    <x v="0"/>
  </r>
  <r>
    <x v="72"/>
    <d v="2025-02-04T00:00:00"/>
    <s v="Tuesday"/>
    <x v="1"/>
    <n v="2025"/>
    <x v="3"/>
    <x v="1"/>
    <x v="9"/>
    <n v="1"/>
    <n v="800"/>
    <x v="25"/>
    <x v="8"/>
    <x v="2"/>
    <s v="Cancelled"/>
    <x v="0"/>
  </r>
  <r>
    <x v="73"/>
    <d v="2025-03-17T00:00:00"/>
    <s v="Monday"/>
    <x v="0"/>
    <n v="2025"/>
    <x v="9"/>
    <x v="4"/>
    <x v="6"/>
    <n v="2"/>
    <n v="20"/>
    <x v="10"/>
    <x v="3"/>
    <x v="2"/>
    <s v="Cancelled"/>
    <x v="0"/>
  </r>
  <r>
    <x v="74"/>
    <d v="2025-03-30T00:00:00"/>
    <s v="Sunday"/>
    <x v="0"/>
    <n v="2025"/>
    <x v="6"/>
    <x v="4"/>
    <x v="8"/>
    <n v="1"/>
    <n v="40"/>
    <x v="10"/>
    <x v="5"/>
    <x v="2"/>
    <s v="Cancelled"/>
    <x v="0"/>
  </r>
  <r>
    <x v="75"/>
    <d v="2025-03-05T00:00:00"/>
    <s v="Wednesday"/>
    <x v="0"/>
    <n v="2025"/>
    <x v="4"/>
    <x v="4"/>
    <x v="6"/>
    <n v="2"/>
    <n v="20"/>
    <x v="10"/>
    <x v="1"/>
    <x v="2"/>
    <s v="Cancelled"/>
    <x v="0"/>
  </r>
  <r>
    <x v="76"/>
    <d v="2025-03-08T00:00:00"/>
    <s v="Saturday"/>
    <x v="0"/>
    <n v="2025"/>
    <x v="2"/>
    <x v="1"/>
    <x v="7"/>
    <n v="3"/>
    <n v="150"/>
    <x v="27"/>
    <x v="0"/>
    <x v="4"/>
    <s v="Cancelled"/>
    <x v="0"/>
  </r>
  <r>
    <x v="77"/>
    <d v="2025-03-18T00:00:00"/>
    <s v="Tuesday"/>
    <x v="0"/>
    <n v="2025"/>
    <x v="0"/>
    <x v="1"/>
    <x v="7"/>
    <n v="4"/>
    <n v="150"/>
    <x v="7"/>
    <x v="7"/>
    <x v="4"/>
    <s v="Completed"/>
    <x v="1"/>
  </r>
  <r>
    <x v="78"/>
    <d v="2025-03-02T00:00:00"/>
    <s v="Sunday"/>
    <x v="0"/>
    <n v="2025"/>
    <x v="6"/>
    <x v="1"/>
    <x v="1"/>
    <n v="1"/>
    <n v="500"/>
    <x v="2"/>
    <x v="3"/>
    <x v="4"/>
    <s v="Completed"/>
    <x v="1"/>
  </r>
  <r>
    <x v="79"/>
    <d v="2025-03-08T00:00:00"/>
    <s v="Saturday"/>
    <x v="0"/>
    <n v="2025"/>
    <x v="6"/>
    <x v="4"/>
    <x v="6"/>
    <n v="3"/>
    <n v="20"/>
    <x v="19"/>
    <x v="4"/>
    <x v="1"/>
    <s v="Completed"/>
    <x v="1"/>
  </r>
  <r>
    <x v="80"/>
    <d v="2025-03-13T00:00:00"/>
    <s v="Thursday"/>
    <x v="0"/>
    <n v="2025"/>
    <x v="3"/>
    <x v="4"/>
    <x v="8"/>
    <n v="4"/>
    <n v="40"/>
    <x v="24"/>
    <x v="5"/>
    <x v="1"/>
    <s v="Completed"/>
    <x v="1"/>
  </r>
  <r>
    <x v="81"/>
    <d v="2025-02-20T00:00:00"/>
    <s v="Thursday"/>
    <x v="1"/>
    <n v="2025"/>
    <x v="1"/>
    <x v="1"/>
    <x v="7"/>
    <n v="4"/>
    <n v="150"/>
    <x v="7"/>
    <x v="9"/>
    <x v="0"/>
    <s v="Completed"/>
    <x v="1"/>
  </r>
  <r>
    <x v="82"/>
    <d v="2025-04-01T00:00:00"/>
    <s v="Tuesday"/>
    <x v="2"/>
    <n v="2025"/>
    <x v="0"/>
    <x v="4"/>
    <x v="6"/>
    <n v="1"/>
    <n v="20"/>
    <x v="28"/>
    <x v="0"/>
    <x v="0"/>
    <s v="Completed"/>
    <x v="1"/>
  </r>
  <r>
    <x v="83"/>
    <d v="2025-02-10T00:00:00"/>
    <s v="Monday"/>
    <x v="1"/>
    <n v="2025"/>
    <x v="3"/>
    <x v="1"/>
    <x v="1"/>
    <n v="2"/>
    <n v="500"/>
    <x v="16"/>
    <x v="8"/>
    <x v="1"/>
    <s v="Completed"/>
    <x v="1"/>
  </r>
  <r>
    <x v="84"/>
    <d v="2025-03-22T00:00:00"/>
    <s v="Saturday"/>
    <x v="0"/>
    <n v="2025"/>
    <x v="5"/>
    <x v="0"/>
    <x v="0"/>
    <n v="3"/>
    <n v="60"/>
    <x v="0"/>
    <x v="7"/>
    <x v="0"/>
    <s v="Completed"/>
    <x v="1"/>
  </r>
  <r>
    <x v="85"/>
    <d v="2025-03-02T00:00:00"/>
    <s v="Sunday"/>
    <x v="0"/>
    <n v="2025"/>
    <x v="6"/>
    <x v="3"/>
    <x v="5"/>
    <n v="5"/>
    <n v="15"/>
    <x v="29"/>
    <x v="9"/>
    <x v="0"/>
    <s v="Completed"/>
    <x v="1"/>
  </r>
  <r>
    <x v="86"/>
    <d v="2025-02-03T00:00:00"/>
    <s v="Monday"/>
    <x v="1"/>
    <n v="2025"/>
    <x v="7"/>
    <x v="1"/>
    <x v="4"/>
    <n v="1"/>
    <n v="100"/>
    <x v="11"/>
    <x v="6"/>
    <x v="0"/>
    <s v="Completed"/>
    <x v="1"/>
  </r>
  <r>
    <x v="87"/>
    <d v="2025-04-02T00:00:00"/>
    <s v="Wednesday"/>
    <x v="2"/>
    <n v="2025"/>
    <x v="0"/>
    <x v="1"/>
    <x v="9"/>
    <n v="3"/>
    <n v="800"/>
    <x v="9"/>
    <x v="1"/>
    <x v="0"/>
    <s v="Completed"/>
    <x v="1"/>
  </r>
  <r>
    <x v="88"/>
    <d v="2025-03-26T00:00:00"/>
    <s v="Wednesday"/>
    <x v="0"/>
    <n v="2025"/>
    <x v="5"/>
    <x v="1"/>
    <x v="9"/>
    <n v="3"/>
    <n v="800"/>
    <x v="9"/>
    <x v="6"/>
    <x v="4"/>
    <s v="Completed"/>
    <x v="1"/>
  </r>
  <r>
    <x v="89"/>
    <d v="2025-03-02T00:00:00"/>
    <s v="Sunday"/>
    <x v="0"/>
    <n v="2025"/>
    <x v="5"/>
    <x v="1"/>
    <x v="9"/>
    <n v="2"/>
    <n v="800"/>
    <x v="21"/>
    <x v="2"/>
    <x v="0"/>
    <s v="Completed"/>
    <x v="1"/>
  </r>
  <r>
    <x v="90"/>
    <d v="2025-02-11T00:00:00"/>
    <s v="Tuesday"/>
    <x v="1"/>
    <n v="2025"/>
    <x v="7"/>
    <x v="4"/>
    <x v="6"/>
    <n v="5"/>
    <n v="20"/>
    <x v="11"/>
    <x v="1"/>
    <x v="2"/>
    <s v="Completed"/>
    <x v="1"/>
  </r>
  <r>
    <x v="91"/>
    <d v="2025-02-18T00:00:00"/>
    <s v="Tuesday"/>
    <x v="1"/>
    <n v="2025"/>
    <x v="0"/>
    <x v="1"/>
    <x v="1"/>
    <n v="4"/>
    <n v="500"/>
    <x v="30"/>
    <x v="6"/>
    <x v="3"/>
    <s v="Completed"/>
    <x v="1"/>
  </r>
  <r>
    <x v="92"/>
    <d v="2025-03-14T00:00:00"/>
    <s v="Friday"/>
    <x v="0"/>
    <n v="2025"/>
    <x v="1"/>
    <x v="4"/>
    <x v="8"/>
    <n v="3"/>
    <n v="40"/>
    <x v="1"/>
    <x v="4"/>
    <x v="4"/>
    <s v="Completed"/>
    <x v="1"/>
  </r>
  <r>
    <x v="93"/>
    <d v="2025-03-24T00:00:00"/>
    <s v="Monday"/>
    <x v="0"/>
    <n v="2025"/>
    <x v="2"/>
    <x v="0"/>
    <x v="0"/>
    <n v="4"/>
    <n v="60"/>
    <x v="31"/>
    <x v="8"/>
    <x v="4"/>
    <s v="Completed"/>
    <x v="1"/>
  </r>
  <r>
    <x v="94"/>
    <d v="2025-03-15T00:00:00"/>
    <s v="Saturday"/>
    <x v="0"/>
    <n v="2025"/>
    <x v="6"/>
    <x v="4"/>
    <x v="8"/>
    <n v="2"/>
    <n v="40"/>
    <x v="22"/>
    <x v="5"/>
    <x v="1"/>
    <s v="Completed"/>
    <x v="1"/>
  </r>
  <r>
    <x v="95"/>
    <d v="2025-03-19T00:00:00"/>
    <s v="Wednesday"/>
    <x v="0"/>
    <n v="2025"/>
    <x v="0"/>
    <x v="1"/>
    <x v="7"/>
    <n v="2"/>
    <n v="150"/>
    <x v="5"/>
    <x v="5"/>
    <x v="4"/>
    <s v="Completed"/>
    <x v="1"/>
  </r>
  <r>
    <x v="96"/>
    <d v="2025-02-10T00:00:00"/>
    <s v="Monday"/>
    <x v="1"/>
    <n v="2025"/>
    <x v="5"/>
    <x v="1"/>
    <x v="9"/>
    <n v="5"/>
    <n v="800"/>
    <x v="26"/>
    <x v="2"/>
    <x v="3"/>
    <s v="Completed"/>
    <x v="1"/>
  </r>
  <r>
    <x v="97"/>
    <d v="2025-03-30T00:00:00"/>
    <s v="Sunday"/>
    <x v="0"/>
    <n v="2025"/>
    <x v="0"/>
    <x v="1"/>
    <x v="1"/>
    <n v="5"/>
    <n v="500"/>
    <x v="12"/>
    <x v="3"/>
    <x v="1"/>
    <s v="Completed"/>
    <x v="1"/>
  </r>
  <r>
    <x v="98"/>
    <d v="2025-03-10T00:00:00"/>
    <s v="Monday"/>
    <x v="0"/>
    <n v="2025"/>
    <x v="2"/>
    <x v="3"/>
    <x v="5"/>
    <n v="1"/>
    <n v="15"/>
    <x v="8"/>
    <x v="4"/>
    <x v="0"/>
    <s v="Completed"/>
    <x v="1"/>
  </r>
  <r>
    <x v="99"/>
    <d v="2025-02-24T00:00:00"/>
    <s v="Monday"/>
    <x v="1"/>
    <n v="2025"/>
    <x v="7"/>
    <x v="2"/>
    <x v="2"/>
    <n v="1"/>
    <n v="600"/>
    <x v="7"/>
    <x v="5"/>
    <x v="1"/>
    <s v="Completed"/>
    <x v="1"/>
  </r>
  <r>
    <x v="100"/>
    <d v="2025-03-20T00:00:00"/>
    <s v="Thursday"/>
    <x v="0"/>
    <n v="2025"/>
    <x v="9"/>
    <x v="1"/>
    <x v="4"/>
    <n v="2"/>
    <n v="100"/>
    <x v="18"/>
    <x v="7"/>
    <x v="4"/>
    <s v="Completed"/>
    <x v="1"/>
  </r>
  <r>
    <x v="101"/>
    <d v="2025-02-14T00:00:00"/>
    <s v="Friday"/>
    <x v="1"/>
    <n v="2025"/>
    <x v="5"/>
    <x v="4"/>
    <x v="6"/>
    <n v="5"/>
    <n v="20"/>
    <x v="11"/>
    <x v="4"/>
    <x v="4"/>
    <s v="Completed"/>
    <x v="1"/>
  </r>
  <r>
    <x v="102"/>
    <d v="2025-02-06T00:00:00"/>
    <s v="Thursday"/>
    <x v="1"/>
    <n v="2025"/>
    <x v="3"/>
    <x v="1"/>
    <x v="1"/>
    <n v="5"/>
    <n v="500"/>
    <x v="12"/>
    <x v="7"/>
    <x v="2"/>
    <s v="Completed"/>
    <x v="1"/>
  </r>
  <r>
    <x v="103"/>
    <d v="2025-03-13T00:00:00"/>
    <s v="Thursday"/>
    <x v="0"/>
    <n v="2025"/>
    <x v="0"/>
    <x v="0"/>
    <x v="0"/>
    <n v="5"/>
    <n v="60"/>
    <x v="5"/>
    <x v="3"/>
    <x v="0"/>
    <s v="Completed"/>
    <x v="1"/>
  </r>
  <r>
    <x v="104"/>
    <d v="2025-03-24T00:00:00"/>
    <s v="Monday"/>
    <x v="0"/>
    <n v="2025"/>
    <x v="2"/>
    <x v="1"/>
    <x v="7"/>
    <n v="5"/>
    <n v="150"/>
    <x v="15"/>
    <x v="7"/>
    <x v="0"/>
    <s v="Completed"/>
    <x v="1"/>
  </r>
  <r>
    <x v="105"/>
    <d v="2025-03-30T00:00:00"/>
    <s v="Sunday"/>
    <x v="0"/>
    <n v="2025"/>
    <x v="7"/>
    <x v="1"/>
    <x v="7"/>
    <n v="3"/>
    <n v="150"/>
    <x v="27"/>
    <x v="0"/>
    <x v="2"/>
    <s v="Completed"/>
    <x v="1"/>
  </r>
  <r>
    <x v="106"/>
    <d v="2025-02-18T00:00:00"/>
    <s v="Tuesday"/>
    <x v="1"/>
    <n v="2025"/>
    <x v="3"/>
    <x v="2"/>
    <x v="2"/>
    <n v="5"/>
    <n v="600"/>
    <x v="32"/>
    <x v="9"/>
    <x v="4"/>
    <s v="Completed"/>
    <x v="1"/>
  </r>
  <r>
    <x v="107"/>
    <d v="2025-03-17T00:00:00"/>
    <s v="Monday"/>
    <x v="0"/>
    <n v="2025"/>
    <x v="3"/>
    <x v="4"/>
    <x v="8"/>
    <n v="5"/>
    <n v="40"/>
    <x v="18"/>
    <x v="0"/>
    <x v="1"/>
    <s v="Completed"/>
    <x v="1"/>
  </r>
  <r>
    <x v="108"/>
    <d v="2025-03-31T00:00:00"/>
    <s v="Monday"/>
    <x v="0"/>
    <n v="2025"/>
    <x v="0"/>
    <x v="1"/>
    <x v="9"/>
    <n v="4"/>
    <n v="800"/>
    <x v="33"/>
    <x v="8"/>
    <x v="0"/>
    <s v="Completed"/>
    <x v="1"/>
  </r>
  <r>
    <x v="109"/>
    <d v="2025-03-21T00:00:00"/>
    <s v="Friday"/>
    <x v="0"/>
    <n v="2025"/>
    <x v="5"/>
    <x v="0"/>
    <x v="0"/>
    <n v="3"/>
    <n v="60"/>
    <x v="0"/>
    <x v="3"/>
    <x v="0"/>
    <s v="Completed"/>
    <x v="1"/>
  </r>
  <r>
    <x v="110"/>
    <d v="2025-03-19T00:00:00"/>
    <s v="Wednesday"/>
    <x v="0"/>
    <n v="2025"/>
    <x v="0"/>
    <x v="1"/>
    <x v="9"/>
    <n v="4"/>
    <n v="800"/>
    <x v="33"/>
    <x v="8"/>
    <x v="1"/>
    <s v="Completed"/>
    <x v="1"/>
  </r>
  <r>
    <x v="111"/>
    <d v="2025-02-27T00:00:00"/>
    <s v="Thursday"/>
    <x v="1"/>
    <n v="2025"/>
    <x v="9"/>
    <x v="4"/>
    <x v="6"/>
    <n v="1"/>
    <n v="20"/>
    <x v="28"/>
    <x v="0"/>
    <x v="0"/>
    <s v="Completed"/>
    <x v="1"/>
  </r>
  <r>
    <x v="112"/>
    <d v="2025-02-10T00:00:00"/>
    <s v="Monday"/>
    <x v="1"/>
    <n v="2025"/>
    <x v="1"/>
    <x v="1"/>
    <x v="4"/>
    <n v="5"/>
    <n v="100"/>
    <x v="2"/>
    <x v="7"/>
    <x v="4"/>
    <s v="Completed"/>
    <x v="1"/>
  </r>
  <r>
    <x v="113"/>
    <d v="2025-02-16T00:00:00"/>
    <s v="Sunday"/>
    <x v="1"/>
    <n v="2025"/>
    <x v="2"/>
    <x v="1"/>
    <x v="9"/>
    <n v="5"/>
    <n v="800"/>
    <x v="26"/>
    <x v="1"/>
    <x v="0"/>
    <s v="Completed"/>
    <x v="1"/>
  </r>
  <r>
    <x v="114"/>
    <d v="2025-02-23T00:00:00"/>
    <s v="Sunday"/>
    <x v="1"/>
    <n v="2025"/>
    <x v="2"/>
    <x v="1"/>
    <x v="1"/>
    <n v="1"/>
    <n v="500"/>
    <x v="2"/>
    <x v="1"/>
    <x v="2"/>
    <s v="Completed"/>
    <x v="1"/>
  </r>
  <r>
    <x v="115"/>
    <d v="2025-02-18T00:00:00"/>
    <s v="Tuesday"/>
    <x v="1"/>
    <n v="2025"/>
    <x v="0"/>
    <x v="4"/>
    <x v="6"/>
    <n v="3"/>
    <n v="20"/>
    <x v="19"/>
    <x v="5"/>
    <x v="4"/>
    <s v="Completed"/>
    <x v="1"/>
  </r>
  <r>
    <x v="116"/>
    <d v="2025-02-10T00:00:00"/>
    <s v="Monday"/>
    <x v="1"/>
    <n v="2025"/>
    <x v="8"/>
    <x v="1"/>
    <x v="7"/>
    <n v="5"/>
    <n v="150"/>
    <x v="15"/>
    <x v="4"/>
    <x v="2"/>
    <s v="Completed"/>
    <x v="1"/>
  </r>
  <r>
    <x v="117"/>
    <d v="2025-03-20T00:00:00"/>
    <s v="Thursday"/>
    <x v="0"/>
    <n v="2025"/>
    <x v="6"/>
    <x v="1"/>
    <x v="7"/>
    <n v="3"/>
    <n v="150"/>
    <x v="27"/>
    <x v="2"/>
    <x v="2"/>
    <s v="Completed"/>
    <x v="1"/>
  </r>
  <r>
    <x v="118"/>
    <d v="2025-03-19T00:00:00"/>
    <s v="Wednesday"/>
    <x v="0"/>
    <n v="2025"/>
    <x v="5"/>
    <x v="1"/>
    <x v="7"/>
    <n v="2"/>
    <n v="150"/>
    <x v="5"/>
    <x v="3"/>
    <x v="4"/>
    <s v="Completed"/>
    <x v="1"/>
  </r>
  <r>
    <x v="119"/>
    <d v="2025-03-21T00:00:00"/>
    <s v="Friday"/>
    <x v="0"/>
    <n v="2025"/>
    <x v="1"/>
    <x v="1"/>
    <x v="1"/>
    <n v="2"/>
    <n v="500"/>
    <x v="16"/>
    <x v="3"/>
    <x v="3"/>
    <s v="Completed"/>
    <x v="1"/>
  </r>
  <r>
    <x v="120"/>
    <d v="2025-03-15T00:00:00"/>
    <s v="Saturday"/>
    <x v="0"/>
    <n v="2025"/>
    <x v="6"/>
    <x v="1"/>
    <x v="1"/>
    <n v="3"/>
    <n v="500"/>
    <x v="14"/>
    <x v="3"/>
    <x v="2"/>
    <s v="Completed"/>
    <x v="1"/>
  </r>
  <r>
    <x v="121"/>
    <d v="2025-03-25T00:00:00"/>
    <s v="Tuesday"/>
    <x v="0"/>
    <n v="2025"/>
    <x v="0"/>
    <x v="1"/>
    <x v="7"/>
    <n v="2"/>
    <n v="150"/>
    <x v="5"/>
    <x v="4"/>
    <x v="3"/>
    <s v="Completed"/>
    <x v="1"/>
  </r>
  <r>
    <x v="122"/>
    <d v="2025-02-28T00:00:00"/>
    <s v="Friday"/>
    <x v="1"/>
    <n v="2025"/>
    <x v="1"/>
    <x v="1"/>
    <x v="7"/>
    <n v="1"/>
    <n v="150"/>
    <x v="34"/>
    <x v="9"/>
    <x v="2"/>
    <s v="Completed"/>
    <x v="1"/>
  </r>
  <r>
    <x v="123"/>
    <d v="2025-03-01T00:00:00"/>
    <s v="Saturday"/>
    <x v="0"/>
    <n v="2025"/>
    <x v="1"/>
    <x v="1"/>
    <x v="4"/>
    <n v="2"/>
    <n v="100"/>
    <x v="18"/>
    <x v="1"/>
    <x v="1"/>
    <s v="Completed"/>
    <x v="1"/>
  </r>
  <r>
    <x v="124"/>
    <d v="2025-02-22T00:00:00"/>
    <s v="Saturday"/>
    <x v="1"/>
    <n v="2025"/>
    <x v="2"/>
    <x v="1"/>
    <x v="4"/>
    <n v="1"/>
    <n v="100"/>
    <x v="11"/>
    <x v="8"/>
    <x v="1"/>
    <s v="Completed"/>
    <x v="1"/>
  </r>
  <r>
    <x v="125"/>
    <d v="2025-02-09T00:00:00"/>
    <s v="Sunday"/>
    <x v="1"/>
    <n v="2025"/>
    <x v="5"/>
    <x v="1"/>
    <x v="1"/>
    <n v="2"/>
    <n v="500"/>
    <x v="16"/>
    <x v="6"/>
    <x v="4"/>
    <s v="Completed"/>
    <x v="1"/>
  </r>
  <r>
    <x v="126"/>
    <d v="2025-02-20T00:00:00"/>
    <s v="Thursday"/>
    <x v="1"/>
    <n v="2025"/>
    <x v="4"/>
    <x v="0"/>
    <x v="0"/>
    <n v="2"/>
    <n v="60"/>
    <x v="1"/>
    <x v="7"/>
    <x v="1"/>
    <s v="Completed"/>
    <x v="1"/>
  </r>
  <r>
    <x v="127"/>
    <d v="2025-03-20T00:00:00"/>
    <s v="Thursday"/>
    <x v="0"/>
    <n v="2025"/>
    <x v="5"/>
    <x v="2"/>
    <x v="3"/>
    <n v="2"/>
    <n v="1200"/>
    <x v="9"/>
    <x v="9"/>
    <x v="4"/>
    <s v="Completed"/>
    <x v="1"/>
  </r>
  <r>
    <x v="128"/>
    <d v="2025-03-06T00:00:00"/>
    <s v="Thursday"/>
    <x v="0"/>
    <n v="2025"/>
    <x v="1"/>
    <x v="2"/>
    <x v="3"/>
    <n v="2"/>
    <n v="1200"/>
    <x v="9"/>
    <x v="1"/>
    <x v="4"/>
    <s v="Completed"/>
    <x v="1"/>
  </r>
  <r>
    <x v="129"/>
    <d v="2025-02-28T00:00:00"/>
    <s v="Friday"/>
    <x v="1"/>
    <n v="2025"/>
    <x v="9"/>
    <x v="1"/>
    <x v="7"/>
    <n v="2"/>
    <n v="150"/>
    <x v="5"/>
    <x v="7"/>
    <x v="4"/>
    <s v="Completed"/>
    <x v="1"/>
  </r>
  <r>
    <x v="130"/>
    <d v="2025-02-28T00:00:00"/>
    <s v="Friday"/>
    <x v="1"/>
    <n v="2025"/>
    <x v="5"/>
    <x v="2"/>
    <x v="3"/>
    <n v="1"/>
    <n v="1200"/>
    <x v="4"/>
    <x v="9"/>
    <x v="0"/>
    <s v="Completed"/>
    <x v="1"/>
  </r>
  <r>
    <x v="131"/>
    <d v="2025-03-27T00:00:00"/>
    <s v="Thursday"/>
    <x v="0"/>
    <n v="2025"/>
    <x v="3"/>
    <x v="3"/>
    <x v="5"/>
    <n v="1"/>
    <n v="15"/>
    <x v="8"/>
    <x v="4"/>
    <x v="4"/>
    <s v="Completed"/>
    <x v="1"/>
  </r>
  <r>
    <x v="132"/>
    <d v="2025-02-06T00:00:00"/>
    <s v="Thursday"/>
    <x v="1"/>
    <n v="2025"/>
    <x v="2"/>
    <x v="1"/>
    <x v="1"/>
    <n v="3"/>
    <n v="500"/>
    <x v="14"/>
    <x v="6"/>
    <x v="3"/>
    <s v="Completed"/>
    <x v="1"/>
  </r>
  <r>
    <x v="133"/>
    <d v="2025-03-04T00:00:00"/>
    <s v="Tuesday"/>
    <x v="0"/>
    <n v="2025"/>
    <x v="8"/>
    <x v="2"/>
    <x v="3"/>
    <n v="3"/>
    <n v="1200"/>
    <x v="6"/>
    <x v="4"/>
    <x v="4"/>
    <s v="Completed"/>
    <x v="1"/>
  </r>
  <r>
    <x v="134"/>
    <d v="2025-04-02T00:00:00"/>
    <s v="Wednesday"/>
    <x v="2"/>
    <n v="2025"/>
    <x v="0"/>
    <x v="4"/>
    <x v="6"/>
    <n v="5"/>
    <n v="20"/>
    <x v="11"/>
    <x v="1"/>
    <x v="2"/>
    <s v="Completed"/>
    <x v="1"/>
  </r>
  <r>
    <x v="135"/>
    <d v="2025-03-22T00:00:00"/>
    <s v="Saturday"/>
    <x v="0"/>
    <n v="2025"/>
    <x v="4"/>
    <x v="4"/>
    <x v="6"/>
    <n v="1"/>
    <n v="20"/>
    <x v="28"/>
    <x v="5"/>
    <x v="4"/>
    <s v="Completed"/>
    <x v="1"/>
  </r>
  <r>
    <x v="136"/>
    <d v="2025-03-02T00:00:00"/>
    <s v="Sunday"/>
    <x v="0"/>
    <n v="2025"/>
    <x v="3"/>
    <x v="2"/>
    <x v="2"/>
    <n v="4"/>
    <n v="600"/>
    <x v="9"/>
    <x v="0"/>
    <x v="0"/>
    <s v="Completed"/>
    <x v="1"/>
  </r>
  <r>
    <x v="137"/>
    <d v="2025-02-14T00:00:00"/>
    <s v="Friday"/>
    <x v="1"/>
    <n v="2025"/>
    <x v="1"/>
    <x v="3"/>
    <x v="5"/>
    <n v="1"/>
    <n v="15"/>
    <x v="8"/>
    <x v="4"/>
    <x v="0"/>
    <s v="Completed"/>
    <x v="1"/>
  </r>
  <r>
    <x v="138"/>
    <d v="2025-02-10T00:00:00"/>
    <s v="Monday"/>
    <x v="1"/>
    <n v="2025"/>
    <x v="7"/>
    <x v="1"/>
    <x v="9"/>
    <n v="3"/>
    <n v="800"/>
    <x v="9"/>
    <x v="7"/>
    <x v="4"/>
    <s v="Completed"/>
    <x v="1"/>
  </r>
  <r>
    <x v="139"/>
    <d v="2025-02-23T00:00:00"/>
    <s v="Sunday"/>
    <x v="1"/>
    <n v="2025"/>
    <x v="6"/>
    <x v="0"/>
    <x v="0"/>
    <n v="1"/>
    <n v="60"/>
    <x v="19"/>
    <x v="7"/>
    <x v="3"/>
    <s v="Completed"/>
    <x v="1"/>
  </r>
  <r>
    <x v="140"/>
    <d v="2025-03-12T00:00:00"/>
    <s v="Wednesday"/>
    <x v="0"/>
    <n v="2025"/>
    <x v="3"/>
    <x v="0"/>
    <x v="0"/>
    <n v="2"/>
    <n v="60"/>
    <x v="1"/>
    <x v="1"/>
    <x v="1"/>
    <s v="Completed"/>
    <x v="1"/>
  </r>
  <r>
    <x v="141"/>
    <d v="2025-02-22T00:00:00"/>
    <s v="Saturday"/>
    <x v="1"/>
    <n v="2025"/>
    <x v="4"/>
    <x v="1"/>
    <x v="1"/>
    <n v="3"/>
    <n v="500"/>
    <x v="14"/>
    <x v="5"/>
    <x v="2"/>
    <s v="Completed"/>
    <x v="1"/>
  </r>
  <r>
    <x v="142"/>
    <d v="2025-02-10T00:00:00"/>
    <s v="Monday"/>
    <x v="1"/>
    <n v="2025"/>
    <x v="4"/>
    <x v="3"/>
    <x v="5"/>
    <n v="2"/>
    <n v="15"/>
    <x v="35"/>
    <x v="8"/>
    <x v="1"/>
    <s v="Completed"/>
    <x v="1"/>
  </r>
  <r>
    <x v="143"/>
    <d v="2025-02-03T00:00:00"/>
    <s v="Monday"/>
    <x v="1"/>
    <n v="2025"/>
    <x v="3"/>
    <x v="3"/>
    <x v="5"/>
    <n v="4"/>
    <n v="15"/>
    <x v="19"/>
    <x v="2"/>
    <x v="2"/>
    <s v="Completed"/>
    <x v="1"/>
  </r>
  <r>
    <x v="144"/>
    <d v="2025-02-21T00:00:00"/>
    <s v="Friday"/>
    <x v="1"/>
    <n v="2025"/>
    <x v="1"/>
    <x v="2"/>
    <x v="3"/>
    <n v="3"/>
    <n v="1200"/>
    <x v="6"/>
    <x v="5"/>
    <x v="4"/>
    <s v="Completed"/>
    <x v="1"/>
  </r>
  <r>
    <x v="145"/>
    <d v="2025-02-27T00:00:00"/>
    <s v="Thursday"/>
    <x v="1"/>
    <n v="2025"/>
    <x v="8"/>
    <x v="1"/>
    <x v="4"/>
    <n v="2"/>
    <n v="100"/>
    <x v="18"/>
    <x v="7"/>
    <x v="1"/>
    <s v="Completed"/>
    <x v="1"/>
  </r>
  <r>
    <x v="146"/>
    <d v="2025-03-21T00:00:00"/>
    <s v="Friday"/>
    <x v="0"/>
    <n v="2025"/>
    <x v="1"/>
    <x v="2"/>
    <x v="2"/>
    <n v="1"/>
    <n v="600"/>
    <x v="7"/>
    <x v="3"/>
    <x v="4"/>
    <s v="Completed"/>
    <x v="1"/>
  </r>
  <r>
    <x v="147"/>
    <d v="2025-02-02T00:00:00"/>
    <s v="Sunday"/>
    <x v="1"/>
    <n v="2025"/>
    <x v="1"/>
    <x v="2"/>
    <x v="3"/>
    <n v="3"/>
    <n v="1200"/>
    <x v="6"/>
    <x v="3"/>
    <x v="4"/>
    <s v="Completed"/>
    <x v="1"/>
  </r>
  <r>
    <x v="148"/>
    <d v="2025-03-29T00:00:00"/>
    <s v="Saturday"/>
    <x v="0"/>
    <n v="2025"/>
    <x v="9"/>
    <x v="4"/>
    <x v="8"/>
    <n v="5"/>
    <n v="40"/>
    <x v="18"/>
    <x v="5"/>
    <x v="4"/>
    <s v="Completed"/>
    <x v="1"/>
  </r>
  <r>
    <x v="149"/>
    <d v="2025-03-23T00:00:00"/>
    <s v="Sunday"/>
    <x v="0"/>
    <n v="2025"/>
    <x v="7"/>
    <x v="1"/>
    <x v="9"/>
    <n v="3"/>
    <n v="800"/>
    <x v="9"/>
    <x v="0"/>
    <x v="2"/>
    <s v="Completed"/>
    <x v="1"/>
  </r>
  <r>
    <x v="150"/>
    <d v="2025-03-09T00:00:00"/>
    <s v="Sunday"/>
    <x v="0"/>
    <n v="2025"/>
    <x v="0"/>
    <x v="4"/>
    <x v="6"/>
    <n v="4"/>
    <n v="20"/>
    <x v="22"/>
    <x v="7"/>
    <x v="2"/>
    <s v="Completed"/>
    <x v="1"/>
  </r>
  <r>
    <x v="151"/>
    <d v="2025-02-18T00:00:00"/>
    <s v="Tuesday"/>
    <x v="1"/>
    <n v="2025"/>
    <x v="2"/>
    <x v="1"/>
    <x v="7"/>
    <n v="5"/>
    <n v="150"/>
    <x v="15"/>
    <x v="7"/>
    <x v="4"/>
    <s v="Completed"/>
    <x v="1"/>
  </r>
  <r>
    <x v="152"/>
    <d v="2025-03-07T00:00:00"/>
    <s v="Friday"/>
    <x v="0"/>
    <n v="2025"/>
    <x v="0"/>
    <x v="0"/>
    <x v="0"/>
    <n v="1"/>
    <n v="60"/>
    <x v="19"/>
    <x v="7"/>
    <x v="1"/>
    <s v="Completed"/>
    <x v="1"/>
  </r>
  <r>
    <x v="153"/>
    <d v="2025-03-26T00:00:00"/>
    <s v="Wednesday"/>
    <x v="0"/>
    <n v="2025"/>
    <x v="4"/>
    <x v="4"/>
    <x v="8"/>
    <n v="2"/>
    <n v="40"/>
    <x v="22"/>
    <x v="6"/>
    <x v="2"/>
    <s v="Completed"/>
    <x v="1"/>
  </r>
  <r>
    <x v="154"/>
    <d v="2025-02-10T00:00:00"/>
    <s v="Monday"/>
    <x v="1"/>
    <n v="2025"/>
    <x v="3"/>
    <x v="1"/>
    <x v="7"/>
    <n v="3"/>
    <n v="150"/>
    <x v="27"/>
    <x v="1"/>
    <x v="4"/>
    <s v="Completed"/>
    <x v="1"/>
  </r>
  <r>
    <x v="155"/>
    <d v="2025-03-18T00:00:00"/>
    <s v="Tuesday"/>
    <x v="0"/>
    <n v="2025"/>
    <x v="7"/>
    <x v="2"/>
    <x v="3"/>
    <n v="1"/>
    <n v="1200"/>
    <x v="4"/>
    <x v="3"/>
    <x v="0"/>
    <s v="Completed"/>
    <x v="1"/>
  </r>
  <r>
    <x v="156"/>
    <d v="2025-03-05T00:00:00"/>
    <s v="Wednesday"/>
    <x v="0"/>
    <n v="2025"/>
    <x v="4"/>
    <x v="0"/>
    <x v="0"/>
    <n v="4"/>
    <n v="60"/>
    <x v="31"/>
    <x v="6"/>
    <x v="1"/>
    <s v="Completed"/>
    <x v="1"/>
  </r>
  <r>
    <x v="157"/>
    <d v="2025-03-14T00:00:00"/>
    <s v="Friday"/>
    <x v="0"/>
    <n v="2025"/>
    <x v="0"/>
    <x v="2"/>
    <x v="3"/>
    <n v="3"/>
    <n v="1200"/>
    <x v="6"/>
    <x v="8"/>
    <x v="4"/>
    <s v="Completed"/>
    <x v="1"/>
  </r>
  <r>
    <x v="158"/>
    <d v="2025-03-23T00:00:00"/>
    <s v="Sunday"/>
    <x v="0"/>
    <n v="2025"/>
    <x v="9"/>
    <x v="2"/>
    <x v="3"/>
    <n v="1"/>
    <n v="1200"/>
    <x v="4"/>
    <x v="5"/>
    <x v="4"/>
    <s v="Completed"/>
    <x v="1"/>
  </r>
  <r>
    <x v="159"/>
    <d v="2025-03-05T00:00:00"/>
    <s v="Wednesday"/>
    <x v="0"/>
    <n v="2025"/>
    <x v="1"/>
    <x v="1"/>
    <x v="1"/>
    <n v="5"/>
    <n v="500"/>
    <x v="12"/>
    <x v="4"/>
    <x v="4"/>
    <s v="Completed"/>
    <x v="1"/>
  </r>
  <r>
    <x v="160"/>
    <d v="2025-03-16T00:00:00"/>
    <s v="Sunday"/>
    <x v="0"/>
    <n v="2025"/>
    <x v="5"/>
    <x v="1"/>
    <x v="4"/>
    <n v="1"/>
    <n v="100"/>
    <x v="11"/>
    <x v="1"/>
    <x v="0"/>
    <s v="Completed"/>
    <x v="1"/>
  </r>
  <r>
    <x v="161"/>
    <d v="2025-03-22T00:00:00"/>
    <s v="Saturday"/>
    <x v="0"/>
    <n v="2025"/>
    <x v="9"/>
    <x v="1"/>
    <x v="7"/>
    <n v="5"/>
    <n v="150"/>
    <x v="15"/>
    <x v="7"/>
    <x v="0"/>
    <s v="Completed"/>
    <x v="1"/>
  </r>
  <r>
    <x v="162"/>
    <d v="2025-03-05T00:00:00"/>
    <s v="Wednesday"/>
    <x v="0"/>
    <n v="2025"/>
    <x v="4"/>
    <x v="0"/>
    <x v="0"/>
    <n v="2"/>
    <n v="60"/>
    <x v="1"/>
    <x v="7"/>
    <x v="1"/>
    <s v="Completed"/>
    <x v="1"/>
  </r>
  <r>
    <x v="163"/>
    <d v="2025-02-06T00:00:00"/>
    <s v="Thursday"/>
    <x v="1"/>
    <n v="2025"/>
    <x v="0"/>
    <x v="1"/>
    <x v="1"/>
    <n v="4"/>
    <n v="500"/>
    <x v="30"/>
    <x v="7"/>
    <x v="0"/>
    <s v="Completed"/>
    <x v="1"/>
  </r>
  <r>
    <x v="164"/>
    <d v="2025-02-19T00:00:00"/>
    <s v="Wednesday"/>
    <x v="1"/>
    <n v="2025"/>
    <x v="2"/>
    <x v="1"/>
    <x v="1"/>
    <n v="4"/>
    <n v="500"/>
    <x v="30"/>
    <x v="9"/>
    <x v="2"/>
    <s v="Completed"/>
    <x v="1"/>
  </r>
  <r>
    <x v="165"/>
    <d v="2025-03-20T00:00:00"/>
    <s v="Thursday"/>
    <x v="0"/>
    <n v="2025"/>
    <x v="2"/>
    <x v="1"/>
    <x v="4"/>
    <n v="4"/>
    <n v="100"/>
    <x v="23"/>
    <x v="2"/>
    <x v="1"/>
    <s v="Pending"/>
    <x v="2"/>
  </r>
  <r>
    <x v="166"/>
    <d v="2025-02-19T00:00:00"/>
    <s v="Wednesday"/>
    <x v="1"/>
    <n v="2025"/>
    <x v="5"/>
    <x v="0"/>
    <x v="0"/>
    <n v="3"/>
    <n v="60"/>
    <x v="0"/>
    <x v="5"/>
    <x v="2"/>
    <s v="Pending"/>
    <x v="2"/>
  </r>
  <r>
    <x v="167"/>
    <d v="2025-03-10T00:00:00"/>
    <s v="Monday"/>
    <x v="0"/>
    <n v="2025"/>
    <x v="0"/>
    <x v="1"/>
    <x v="7"/>
    <n v="3"/>
    <n v="150"/>
    <x v="27"/>
    <x v="0"/>
    <x v="1"/>
    <s v="Pending"/>
    <x v="2"/>
  </r>
  <r>
    <x v="168"/>
    <d v="2025-03-14T00:00:00"/>
    <s v="Friday"/>
    <x v="0"/>
    <n v="2025"/>
    <x v="1"/>
    <x v="4"/>
    <x v="6"/>
    <n v="1"/>
    <n v="20"/>
    <x v="28"/>
    <x v="5"/>
    <x v="0"/>
    <s v="Pending"/>
    <x v="2"/>
  </r>
  <r>
    <x v="169"/>
    <d v="2025-02-17T00:00:00"/>
    <s v="Monday"/>
    <x v="1"/>
    <n v="2025"/>
    <x v="8"/>
    <x v="3"/>
    <x v="5"/>
    <n v="2"/>
    <n v="15"/>
    <x v="35"/>
    <x v="4"/>
    <x v="3"/>
    <s v="Pending"/>
    <x v="2"/>
  </r>
  <r>
    <x v="170"/>
    <d v="2025-03-01T00:00:00"/>
    <s v="Saturday"/>
    <x v="0"/>
    <n v="2025"/>
    <x v="9"/>
    <x v="1"/>
    <x v="9"/>
    <n v="2"/>
    <n v="800"/>
    <x v="21"/>
    <x v="2"/>
    <x v="2"/>
    <s v="Pending"/>
    <x v="2"/>
  </r>
  <r>
    <x v="171"/>
    <d v="2025-03-07T00:00:00"/>
    <s v="Friday"/>
    <x v="0"/>
    <n v="2025"/>
    <x v="5"/>
    <x v="1"/>
    <x v="4"/>
    <n v="4"/>
    <n v="100"/>
    <x v="23"/>
    <x v="9"/>
    <x v="1"/>
    <s v="Pending"/>
    <x v="2"/>
  </r>
  <r>
    <x v="172"/>
    <d v="2025-03-07T00:00:00"/>
    <s v="Friday"/>
    <x v="0"/>
    <n v="2025"/>
    <x v="5"/>
    <x v="2"/>
    <x v="3"/>
    <n v="4"/>
    <n v="1200"/>
    <x v="13"/>
    <x v="7"/>
    <x v="1"/>
    <s v="Pending"/>
    <x v="2"/>
  </r>
  <r>
    <x v="173"/>
    <d v="2025-02-23T00:00:00"/>
    <s v="Sunday"/>
    <x v="1"/>
    <n v="2025"/>
    <x v="0"/>
    <x v="3"/>
    <x v="5"/>
    <n v="1"/>
    <n v="15"/>
    <x v="8"/>
    <x v="7"/>
    <x v="0"/>
    <s v="Pending"/>
    <x v="2"/>
  </r>
  <r>
    <x v="174"/>
    <d v="2025-02-07T00:00:00"/>
    <s v="Friday"/>
    <x v="1"/>
    <n v="2025"/>
    <x v="9"/>
    <x v="4"/>
    <x v="6"/>
    <n v="1"/>
    <n v="20"/>
    <x v="28"/>
    <x v="0"/>
    <x v="3"/>
    <s v="Pending"/>
    <x v="2"/>
  </r>
  <r>
    <x v="175"/>
    <d v="2025-03-24T00:00:00"/>
    <s v="Monday"/>
    <x v="0"/>
    <n v="2025"/>
    <x v="1"/>
    <x v="1"/>
    <x v="1"/>
    <n v="1"/>
    <n v="500"/>
    <x v="2"/>
    <x v="7"/>
    <x v="4"/>
    <s v="Pending"/>
    <x v="2"/>
  </r>
  <r>
    <x v="176"/>
    <d v="2025-03-10T00:00:00"/>
    <s v="Monday"/>
    <x v="0"/>
    <n v="2025"/>
    <x v="3"/>
    <x v="1"/>
    <x v="1"/>
    <n v="4"/>
    <n v="500"/>
    <x v="30"/>
    <x v="9"/>
    <x v="1"/>
    <s v="Pending"/>
    <x v="2"/>
  </r>
  <r>
    <x v="177"/>
    <d v="2025-04-02T00:00:00"/>
    <s v="Wednesday"/>
    <x v="2"/>
    <n v="2025"/>
    <x v="7"/>
    <x v="4"/>
    <x v="6"/>
    <n v="5"/>
    <n v="20"/>
    <x v="11"/>
    <x v="0"/>
    <x v="3"/>
    <s v="Pending"/>
    <x v="2"/>
  </r>
  <r>
    <x v="178"/>
    <d v="2025-03-26T00:00:00"/>
    <s v="Wednesday"/>
    <x v="0"/>
    <n v="2025"/>
    <x v="2"/>
    <x v="1"/>
    <x v="7"/>
    <n v="1"/>
    <n v="150"/>
    <x v="34"/>
    <x v="9"/>
    <x v="1"/>
    <s v="Pending"/>
    <x v="2"/>
  </r>
  <r>
    <x v="179"/>
    <d v="2025-02-08T00:00:00"/>
    <s v="Saturday"/>
    <x v="1"/>
    <n v="2025"/>
    <x v="7"/>
    <x v="4"/>
    <x v="6"/>
    <n v="4"/>
    <n v="20"/>
    <x v="22"/>
    <x v="1"/>
    <x v="2"/>
    <s v="Pending"/>
    <x v="2"/>
  </r>
  <r>
    <x v="180"/>
    <d v="2025-03-24T00:00:00"/>
    <s v="Monday"/>
    <x v="0"/>
    <n v="2025"/>
    <x v="4"/>
    <x v="1"/>
    <x v="7"/>
    <n v="1"/>
    <n v="150"/>
    <x v="34"/>
    <x v="7"/>
    <x v="1"/>
    <s v="Pending"/>
    <x v="2"/>
  </r>
  <r>
    <x v="181"/>
    <d v="2025-03-15T00:00:00"/>
    <s v="Saturday"/>
    <x v="0"/>
    <n v="2025"/>
    <x v="9"/>
    <x v="2"/>
    <x v="3"/>
    <n v="3"/>
    <n v="1200"/>
    <x v="6"/>
    <x v="0"/>
    <x v="1"/>
    <s v="Pending"/>
    <x v="2"/>
  </r>
  <r>
    <x v="182"/>
    <d v="2025-02-24T00:00:00"/>
    <s v="Monday"/>
    <x v="1"/>
    <n v="2025"/>
    <x v="1"/>
    <x v="1"/>
    <x v="9"/>
    <n v="3"/>
    <n v="800"/>
    <x v="9"/>
    <x v="2"/>
    <x v="3"/>
    <s v="Pending"/>
    <x v="2"/>
  </r>
  <r>
    <x v="183"/>
    <d v="2025-03-15T00:00:00"/>
    <s v="Saturday"/>
    <x v="0"/>
    <n v="2025"/>
    <x v="8"/>
    <x v="1"/>
    <x v="7"/>
    <n v="3"/>
    <n v="150"/>
    <x v="27"/>
    <x v="4"/>
    <x v="1"/>
    <s v="Pending"/>
    <x v="2"/>
  </r>
  <r>
    <x v="184"/>
    <d v="2025-03-12T00:00:00"/>
    <s v="Wednesday"/>
    <x v="0"/>
    <n v="2025"/>
    <x v="7"/>
    <x v="3"/>
    <x v="5"/>
    <n v="5"/>
    <n v="15"/>
    <x v="29"/>
    <x v="5"/>
    <x v="4"/>
    <s v="Pending"/>
    <x v="2"/>
  </r>
  <r>
    <x v="185"/>
    <d v="2025-02-13T00:00:00"/>
    <s v="Thursday"/>
    <x v="1"/>
    <n v="2025"/>
    <x v="2"/>
    <x v="2"/>
    <x v="3"/>
    <n v="4"/>
    <n v="1200"/>
    <x v="13"/>
    <x v="1"/>
    <x v="0"/>
    <s v="Pending"/>
    <x v="2"/>
  </r>
  <r>
    <x v="186"/>
    <d v="2025-03-16T00:00:00"/>
    <s v="Sunday"/>
    <x v="0"/>
    <n v="2025"/>
    <x v="0"/>
    <x v="3"/>
    <x v="5"/>
    <n v="3"/>
    <n v="15"/>
    <x v="20"/>
    <x v="2"/>
    <x v="4"/>
    <s v="Pending"/>
    <x v="2"/>
  </r>
  <r>
    <x v="187"/>
    <d v="2025-03-14T00:00:00"/>
    <s v="Friday"/>
    <x v="0"/>
    <n v="2025"/>
    <x v="3"/>
    <x v="1"/>
    <x v="7"/>
    <n v="2"/>
    <n v="150"/>
    <x v="5"/>
    <x v="1"/>
    <x v="2"/>
    <s v="Pending"/>
    <x v="2"/>
  </r>
  <r>
    <x v="188"/>
    <d v="2025-03-31T00:00:00"/>
    <s v="Monday"/>
    <x v="0"/>
    <n v="2025"/>
    <x v="4"/>
    <x v="1"/>
    <x v="4"/>
    <n v="3"/>
    <n v="100"/>
    <x v="5"/>
    <x v="0"/>
    <x v="3"/>
    <s v="Pending"/>
    <x v="2"/>
  </r>
  <r>
    <x v="189"/>
    <d v="2025-02-25T00:00:00"/>
    <s v="Tuesday"/>
    <x v="1"/>
    <n v="2025"/>
    <x v="8"/>
    <x v="2"/>
    <x v="3"/>
    <n v="4"/>
    <n v="1200"/>
    <x v="13"/>
    <x v="4"/>
    <x v="1"/>
    <s v="Pending"/>
    <x v="2"/>
  </r>
  <r>
    <x v="190"/>
    <d v="2025-03-16T00:00:00"/>
    <s v="Sunday"/>
    <x v="0"/>
    <n v="2025"/>
    <x v="1"/>
    <x v="1"/>
    <x v="7"/>
    <n v="5"/>
    <n v="150"/>
    <x v="15"/>
    <x v="1"/>
    <x v="1"/>
    <s v="Pending"/>
    <x v="2"/>
  </r>
  <r>
    <x v="191"/>
    <d v="2025-03-07T00:00:00"/>
    <s v="Friday"/>
    <x v="0"/>
    <n v="2025"/>
    <x v="9"/>
    <x v="1"/>
    <x v="9"/>
    <n v="3"/>
    <n v="800"/>
    <x v="9"/>
    <x v="7"/>
    <x v="4"/>
    <s v="Pending"/>
    <x v="2"/>
  </r>
  <r>
    <x v="192"/>
    <d v="2025-02-26T00:00:00"/>
    <s v="Wednesday"/>
    <x v="1"/>
    <n v="2025"/>
    <x v="9"/>
    <x v="1"/>
    <x v="4"/>
    <n v="2"/>
    <n v="100"/>
    <x v="18"/>
    <x v="4"/>
    <x v="2"/>
    <s v="Pending"/>
    <x v="2"/>
  </r>
  <r>
    <x v="193"/>
    <d v="2025-02-23T00:00:00"/>
    <s v="Sunday"/>
    <x v="1"/>
    <n v="2025"/>
    <x v="6"/>
    <x v="0"/>
    <x v="0"/>
    <n v="4"/>
    <n v="60"/>
    <x v="31"/>
    <x v="2"/>
    <x v="2"/>
    <s v="Pending"/>
    <x v="2"/>
  </r>
  <r>
    <x v="194"/>
    <d v="2025-02-06T00:00:00"/>
    <s v="Thursday"/>
    <x v="1"/>
    <n v="2025"/>
    <x v="4"/>
    <x v="2"/>
    <x v="3"/>
    <n v="2"/>
    <n v="1200"/>
    <x v="9"/>
    <x v="9"/>
    <x v="3"/>
    <s v="Pending"/>
    <x v="2"/>
  </r>
  <r>
    <x v="195"/>
    <d v="2025-02-03T00:00:00"/>
    <s v="Monday"/>
    <x v="1"/>
    <n v="2025"/>
    <x v="9"/>
    <x v="1"/>
    <x v="9"/>
    <n v="4"/>
    <n v="800"/>
    <x v="33"/>
    <x v="7"/>
    <x v="0"/>
    <s v="Pending"/>
    <x v="2"/>
  </r>
  <r>
    <x v="196"/>
    <d v="2025-03-25T00:00:00"/>
    <s v="Tuesday"/>
    <x v="0"/>
    <n v="2025"/>
    <x v="5"/>
    <x v="3"/>
    <x v="5"/>
    <n v="5"/>
    <n v="15"/>
    <x v="29"/>
    <x v="6"/>
    <x v="4"/>
    <s v="Pending"/>
    <x v="2"/>
  </r>
  <r>
    <x v="197"/>
    <d v="2025-02-14T00:00:00"/>
    <s v="Friday"/>
    <x v="1"/>
    <n v="2025"/>
    <x v="4"/>
    <x v="1"/>
    <x v="7"/>
    <n v="2"/>
    <n v="150"/>
    <x v="5"/>
    <x v="3"/>
    <x v="4"/>
    <s v="Pending"/>
    <x v="2"/>
  </r>
  <r>
    <x v="198"/>
    <d v="2025-02-20T00:00:00"/>
    <s v="Thursday"/>
    <x v="1"/>
    <n v="2025"/>
    <x v="1"/>
    <x v="3"/>
    <x v="5"/>
    <n v="5"/>
    <n v="15"/>
    <x v="29"/>
    <x v="1"/>
    <x v="4"/>
    <s v="Pending"/>
    <x v="2"/>
  </r>
  <r>
    <x v="199"/>
    <d v="2025-02-28T00:00:00"/>
    <s v="Friday"/>
    <x v="1"/>
    <n v="2025"/>
    <x v="8"/>
    <x v="1"/>
    <x v="1"/>
    <n v="2"/>
    <n v="500"/>
    <x v="16"/>
    <x v="4"/>
    <x v="4"/>
    <s v="Pending"/>
    <x v="2"/>
  </r>
  <r>
    <x v="200"/>
    <d v="2025-03-14T00:00:00"/>
    <s v="Friday"/>
    <x v="0"/>
    <n v="2025"/>
    <x v="3"/>
    <x v="4"/>
    <x v="6"/>
    <n v="2"/>
    <n v="20"/>
    <x v="10"/>
    <x v="6"/>
    <x v="2"/>
    <s v="Pending"/>
    <x v="2"/>
  </r>
  <r>
    <x v="201"/>
    <d v="2025-02-22T00:00:00"/>
    <s v="Saturday"/>
    <x v="1"/>
    <n v="2025"/>
    <x v="7"/>
    <x v="4"/>
    <x v="8"/>
    <n v="5"/>
    <n v="40"/>
    <x v="18"/>
    <x v="5"/>
    <x v="2"/>
    <s v="Pending"/>
    <x v="2"/>
  </r>
  <r>
    <x v="202"/>
    <d v="2025-03-16T00:00:00"/>
    <s v="Sunday"/>
    <x v="0"/>
    <n v="2025"/>
    <x v="7"/>
    <x v="4"/>
    <x v="8"/>
    <n v="1"/>
    <n v="40"/>
    <x v="10"/>
    <x v="4"/>
    <x v="4"/>
    <s v="Pending"/>
    <x v="2"/>
  </r>
  <r>
    <x v="203"/>
    <d v="2025-03-15T00:00:00"/>
    <s v="Saturday"/>
    <x v="0"/>
    <n v="2025"/>
    <x v="5"/>
    <x v="4"/>
    <x v="6"/>
    <n v="3"/>
    <n v="20"/>
    <x v="19"/>
    <x v="6"/>
    <x v="4"/>
    <s v="Pending"/>
    <x v="2"/>
  </r>
  <r>
    <x v="204"/>
    <d v="2025-03-16T00:00:00"/>
    <s v="Sunday"/>
    <x v="0"/>
    <n v="2025"/>
    <x v="9"/>
    <x v="1"/>
    <x v="4"/>
    <n v="2"/>
    <n v="100"/>
    <x v="18"/>
    <x v="3"/>
    <x v="0"/>
    <s v="Pending"/>
    <x v="2"/>
  </r>
  <r>
    <x v="205"/>
    <d v="2025-02-18T00:00:00"/>
    <s v="Tuesday"/>
    <x v="1"/>
    <n v="2025"/>
    <x v="5"/>
    <x v="1"/>
    <x v="1"/>
    <n v="5"/>
    <n v="500"/>
    <x v="12"/>
    <x v="5"/>
    <x v="2"/>
    <s v="Pending"/>
    <x v="2"/>
  </r>
  <r>
    <x v="206"/>
    <d v="2025-03-19T00:00:00"/>
    <s v="Wednesday"/>
    <x v="0"/>
    <n v="2025"/>
    <x v="8"/>
    <x v="3"/>
    <x v="5"/>
    <n v="5"/>
    <n v="15"/>
    <x v="29"/>
    <x v="2"/>
    <x v="1"/>
    <s v="Pending"/>
    <x v="2"/>
  </r>
  <r>
    <x v="207"/>
    <d v="2025-02-23T00:00:00"/>
    <s v="Sunday"/>
    <x v="1"/>
    <n v="2025"/>
    <x v="0"/>
    <x v="0"/>
    <x v="0"/>
    <n v="1"/>
    <n v="60"/>
    <x v="19"/>
    <x v="7"/>
    <x v="4"/>
    <s v="Pending"/>
    <x v="2"/>
  </r>
  <r>
    <x v="208"/>
    <d v="2025-03-16T00:00:00"/>
    <s v="Sunday"/>
    <x v="0"/>
    <n v="2025"/>
    <x v="4"/>
    <x v="1"/>
    <x v="1"/>
    <n v="2"/>
    <n v="500"/>
    <x v="16"/>
    <x v="6"/>
    <x v="3"/>
    <s v="Pending"/>
    <x v="2"/>
  </r>
  <r>
    <x v="209"/>
    <d v="2025-02-18T00:00:00"/>
    <s v="Tuesday"/>
    <x v="1"/>
    <n v="2025"/>
    <x v="1"/>
    <x v="1"/>
    <x v="1"/>
    <n v="1"/>
    <n v="500"/>
    <x v="2"/>
    <x v="5"/>
    <x v="3"/>
    <s v="Pending"/>
    <x v="2"/>
  </r>
  <r>
    <x v="210"/>
    <d v="2025-02-10T00:00:00"/>
    <s v="Monday"/>
    <x v="1"/>
    <n v="2025"/>
    <x v="0"/>
    <x v="3"/>
    <x v="5"/>
    <n v="1"/>
    <n v="15"/>
    <x v="8"/>
    <x v="9"/>
    <x v="3"/>
    <s v="Pending"/>
    <x v="2"/>
  </r>
  <r>
    <x v="211"/>
    <d v="2025-02-04T00:00:00"/>
    <s v="Tuesday"/>
    <x v="1"/>
    <n v="2025"/>
    <x v="5"/>
    <x v="2"/>
    <x v="3"/>
    <n v="5"/>
    <n v="1200"/>
    <x v="17"/>
    <x v="6"/>
    <x v="2"/>
    <s v="Pending"/>
    <x v="2"/>
  </r>
  <r>
    <x v="212"/>
    <d v="2025-02-26T00:00:00"/>
    <s v="Wednesday"/>
    <x v="1"/>
    <n v="2025"/>
    <x v="2"/>
    <x v="4"/>
    <x v="8"/>
    <n v="5"/>
    <n v="40"/>
    <x v="18"/>
    <x v="0"/>
    <x v="1"/>
    <s v="Pending"/>
    <x v="2"/>
  </r>
  <r>
    <x v="213"/>
    <d v="2025-02-26T00:00:00"/>
    <s v="Wednesday"/>
    <x v="1"/>
    <n v="2025"/>
    <x v="9"/>
    <x v="4"/>
    <x v="8"/>
    <n v="2"/>
    <n v="40"/>
    <x v="22"/>
    <x v="6"/>
    <x v="2"/>
    <s v="Pending"/>
    <x v="2"/>
  </r>
  <r>
    <x v="214"/>
    <d v="2025-03-07T00:00:00"/>
    <s v="Friday"/>
    <x v="0"/>
    <n v="2025"/>
    <x v="5"/>
    <x v="1"/>
    <x v="1"/>
    <n v="2"/>
    <n v="500"/>
    <x v="16"/>
    <x v="6"/>
    <x v="0"/>
    <s v="Pending"/>
    <x v="2"/>
  </r>
  <r>
    <x v="215"/>
    <d v="2025-02-23T00:00:00"/>
    <s v="Sunday"/>
    <x v="1"/>
    <n v="2025"/>
    <x v="2"/>
    <x v="1"/>
    <x v="9"/>
    <n v="1"/>
    <n v="800"/>
    <x v="25"/>
    <x v="0"/>
    <x v="3"/>
    <s v="Pending"/>
    <x v="2"/>
  </r>
  <r>
    <x v="216"/>
    <d v="2025-02-07T00:00:00"/>
    <s v="Friday"/>
    <x v="1"/>
    <n v="2025"/>
    <x v="8"/>
    <x v="1"/>
    <x v="1"/>
    <n v="5"/>
    <n v="500"/>
    <x v="12"/>
    <x v="6"/>
    <x v="1"/>
    <s v="Pending"/>
    <x v="2"/>
  </r>
  <r>
    <x v="217"/>
    <d v="2025-02-10T00:00:00"/>
    <s v="Monday"/>
    <x v="1"/>
    <n v="2025"/>
    <x v="5"/>
    <x v="4"/>
    <x v="6"/>
    <n v="1"/>
    <n v="20"/>
    <x v="28"/>
    <x v="3"/>
    <x v="4"/>
    <s v="Pending"/>
    <x v="2"/>
  </r>
  <r>
    <x v="218"/>
    <d v="2025-02-05T00:00:00"/>
    <s v="Wednesday"/>
    <x v="1"/>
    <n v="2025"/>
    <x v="7"/>
    <x v="0"/>
    <x v="0"/>
    <n v="5"/>
    <n v="60"/>
    <x v="5"/>
    <x v="5"/>
    <x v="3"/>
    <s v="Pending"/>
    <x v="2"/>
  </r>
  <r>
    <x v="219"/>
    <d v="2025-03-20T00:00:00"/>
    <s v="Thursday"/>
    <x v="0"/>
    <n v="2025"/>
    <x v="3"/>
    <x v="0"/>
    <x v="0"/>
    <n v="3"/>
    <n v="60"/>
    <x v="0"/>
    <x v="0"/>
    <x v="0"/>
    <s v="Pending"/>
    <x v="2"/>
  </r>
  <r>
    <x v="220"/>
    <d v="2025-03-29T00:00:00"/>
    <s v="Saturday"/>
    <x v="0"/>
    <n v="2025"/>
    <x v="7"/>
    <x v="2"/>
    <x v="2"/>
    <n v="4"/>
    <n v="600"/>
    <x v="9"/>
    <x v="8"/>
    <x v="4"/>
    <s v="Pending"/>
    <x v="2"/>
  </r>
  <r>
    <x v="221"/>
    <d v="2025-02-23T00:00:00"/>
    <s v="Sunday"/>
    <x v="1"/>
    <n v="2025"/>
    <x v="6"/>
    <x v="1"/>
    <x v="7"/>
    <n v="5"/>
    <n v="150"/>
    <x v="15"/>
    <x v="2"/>
    <x v="1"/>
    <s v="Pending"/>
    <x v="2"/>
  </r>
  <r>
    <x v="222"/>
    <d v="2025-02-05T00:00:00"/>
    <s v="Wednesday"/>
    <x v="1"/>
    <n v="2025"/>
    <x v="6"/>
    <x v="2"/>
    <x v="3"/>
    <n v="4"/>
    <n v="1200"/>
    <x v="13"/>
    <x v="9"/>
    <x v="1"/>
    <s v="Pending"/>
    <x v="2"/>
  </r>
  <r>
    <x v="223"/>
    <d v="2025-02-08T00:00:00"/>
    <s v="Saturday"/>
    <x v="1"/>
    <n v="2025"/>
    <x v="6"/>
    <x v="1"/>
    <x v="1"/>
    <n v="3"/>
    <n v="500"/>
    <x v="14"/>
    <x v="1"/>
    <x v="2"/>
    <s v="Pending"/>
    <x v="2"/>
  </r>
  <r>
    <x v="224"/>
    <d v="2025-02-24T00:00:00"/>
    <s v="Monday"/>
    <x v="1"/>
    <n v="2025"/>
    <x v="4"/>
    <x v="1"/>
    <x v="9"/>
    <n v="3"/>
    <n v="800"/>
    <x v="9"/>
    <x v="3"/>
    <x v="2"/>
    <s v="Pending"/>
    <x v="2"/>
  </r>
  <r>
    <x v="225"/>
    <d v="2025-02-25T00:00:00"/>
    <s v="Tuesday"/>
    <x v="1"/>
    <n v="2025"/>
    <x v="3"/>
    <x v="1"/>
    <x v="7"/>
    <n v="5"/>
    <n v="150"/>
    <x v="15"/>
    <x v="4"/>
    <x v="0"/>
    <s v="Pending"/>
    <x v="2"/>
  </r>
  <r>
    <x v="226"/>
    <d v="2025-03-14T00:00:00"/>
    <s v="Friday"/>
    <x v="0"/>
    <n v="2025"/>
    <x v="8"/>
    <x v="3"/>
    <x v="5"/>
    <n v="1"/>
    <n v="15"/>
    <x v="8"/>
    <x v="0"/>
    <x v="1"/>
    <s v="Pending"/>
    <x v="2"/>
  </r>
  <r>
    <x v="227"/>
    <d v="2025-03-30T00:00:00"/>
    <s v="Sunday"/>
    <x v="0"/>
    <n v="2025"/>
    <x v="4"/>
    <x v="2"/>
    <x v="2"/>
    <n v="4"/>
    <n v="600"/>
    <x v="9"/>
    <x v="7"/>
    <x v="2"/>
    <s v="Pending"/>
    <x v="2"/>
  </r>
  <r>
    <x v="228"/>
    <d v="2025-03-24T00:00:00"/>
    <s v="Monday"/>
    <x v="0"/>
    <n v="2025"/>
    <x v="3"/>
    <x v="1"/>
    <x v="9"/>
    <n v="5"/>
    <n v="800"/>
    <x v="26"/>
    <x v="3"/>
    <x v="3"/>
    <s v="Pending"/>
    <x v="2"/>
  </r>
  <r>
    <x v="229"/>
    <d v="2025-02-28T00:00:00"/>
    <s v="Friday"/>
    <x v="1"/>
    <n v="2025"/>
    <x v="0"/>
    <x v="1"/>
    <x v="9"/>
    <n v="1"/>
    <n v="800"/>
    <x v="25"/>
    <x v="2"/>
    <x v="2"/>
    <s v="Pending"/>
    <x v="2"/>
  </r>
  <r>
    <x v="230"/>
    <d v="2025-03-13T00:00:00"/>
    <s v="Thursday"/>
    <x v="0"/>
    <n v="2025"/>
    <x v="8"/>
    <x v="1"/>
    <x v="7"/>
    <n v="2"/>
    <n v="150"/>
    <x v="5"/>
    <x v="6"/>
    <x v="1"/>
    <s v="Pending"/>
    <x v="2"/>
  </r>
  <r>
    <x v="231"/>
    <d v="2025-03-14T00:00:00"/>
    <s v="Friday"/>
    <x v="0"/>
    <n v="2025"/>
    <x v="8"/>
    <x v="3"/>
    <x v="5"/>
    <n v="5"/>
    <n v="15"/>
    <x v="29"/>
    <x v="2"/>
    <x v="2"/>
    <s v="Pending"/>
    <x v="2"/>
  </r>
  <r>
    <x v="232"/>
    <d v="2025-03-25T00:00:00"/>
    <s v="Tuesday"/>
    <x v="0"/>
    <n v="2025"/>
    <x v="0"/>
    <x v="2"/>
    <x v="2"/>
    <n v="1"/>
    <n v="600"/>
    <x v="7"/>
    <x v="9"/>
    <x v="2"/>
    <s v="Pending"/>
    <x v="2"/>
  </r>
  <r>
    <x v="233"/>
    <d v="2025-02-17T00:00:00"/>
    <s v="Monday"/>
    <x v="1"/>
    <n v="2025"/>
    <x v="9"/>
    <x v="3"/>
    <x v="5"/>
    <n v="5"/>
    <n v="15"/>
    <x v="29"/>
    <x v="3"/>
    <x v="4"/>
    <s v="Pending"/>
    <x v="2"/>
  </r>
  <r>
    <x v="234"/>
    <d v="2025-03-13T00:00:00"/>
    <s v="Thursday"/>
    <x v="0"/>
    <n v="2025"/>
    <x v="1"/>
    <x v="1"/>
    <x v="9"/>
    <n v="3"/>
    <n v="800"/>
    <x v="9"/>
    <x v="0"/>
    <x v="0"/>
    <s v="Pending"/>
    <x v="2"/>
  </r>
  <r>
    <x v="235"/>
    <d v="2025-02-28T00:00:00"/>
    <s v="Friday"/>
    <x v="1"/>
    <n v="2025"/>
    <x v="1"/>
    <x v="4"/>
    <x v="8"/>
    <n v="4"/>
    <n v="40"/>
    <x v="24"/>
    <x v="9"/>
    <x v="3"/>
    <s v="Pending"/>
    <x v="2"/>
  </r>
  <r>
    <x v="236"/>
    <d v="2025-03-31T00:00:00"/>
    <s v="Monday"/>
    <x v="0"/>
    <n v="2025"/>
    <x v="6"/>
    <x v="1"/>
    <x v="4"/>
    <n v="3"/>
    <n v="100"/>
    <x v="5"/>
    <x v="5"/>
    <x v="0"/>
    <s v="Pending"/>
    <x v="2"/>
  </r>
  <r>
    <x v="237"/>
    <d v="2025-03-30T00:00:00"/>
    <s v="Sunday"/>
    <x v="0"/>
    <n v="2025"/>
    <x v="8"/>
    <x v="3"/>
    <x v="5"/>
    <n v="5"/>
    <n v="15"/>
    <x v="29"/>
    <x v="6"/>
    <x v="2"/>
    <s v="Pending"/>
    <x v="2"/>
  </r>
  <r>
    <x v="238"/>
    <d v="2025-03-04T00:00:00"/>
    <s v="Tuesday"/>
    <x v="0"/>
    <n v="2025"/>
    <x v="9"/>
    <x v="1"/>
    <x v="4"/>
    <n v="5"/>
    <n v="100"/>
    <x v="2"/>
    <x v="9"/>
    <x v="0"/>
    <s v="Pending"/>
    <x v="2"/>
  </r>
  <r>
    <x v="239"/>
    <d v="2025-02-20T00:00:00"/>
    <s v="Thursday"/>
    <x v="1"/>
    <n v="2025"/>
    <x v="7"/>
    <x v="1"/>
    <x v="9"/>
    <n v="4"/>
    <n v="800"/>
    <x v="33"/>
    <x v="9"/>
    <x v="3"/>
    <s v="Pending"/>
    <x v="2"/>
  </r>
  <r>
    <x v="240"/>
    <d v="2025-03-08T00:00:00"/>
    <s v="Saturday"/>
    <x v="0"/>
    <n v="2025"/>
    <x v="7"/>
    <x v="0"/>
    <x v="0"/>
    <n v="5"/>
    <n v="60"/>
    <x v="5"/>
    <x v="3"/>
    <x v="0"/>
    <s v="Pending"/>
    <x v="2"/>
  </r>
  <r>
    <x v="241"/>
    <d v="2025-02-12T00:00:00"/>
    <s v="Wednesday"/>
    <x v="1"/>
    <n v="2025"/>
    <x v="0"/>
    <x v="2"/>
    <x v="2"/>
    <n v="5"/>
    <n v="600"/>
    <x v="32"/>
    <x v="3"/>
    <x v="3"/>
    <s v="Pending"/>
    <x v="2"/>
  </r>
  <r>
    <x v="242"/>
    <d v="2025-03-13T00:00:00"/>
    <s v="Thursday"/>
    <x v="0"/>
    <n v="2025"/>
    <x v="8"/>
    <x v="1"/>
    <x v="1"/>
    <n v="1"/>
    <n v="500"/>
    <x v="2"/>
    <x v="3"/>
    <x v="3"/>
    <s v="Pending"/>
    <x v="2"/>
  </r>
  <r>
    <x v="243"/>
    <d v="2025-03-19T00:00:00"/>
    <s v="Wednesday"/>
    <x v="0"/>
    <n v="2025"/>
    <x v="0"/>
    <x v="0"/>
    <x v="0"/>
    <n v="2"/>
    <n v="60"/>
    <x v="1"/>
    <x v="4"/>
    <x v="1"/>
    <s v="Pending"/>
    <x v="2"/>
  </r>
  <r>
    <x v="244"/>
    <d v="2025-02-12T00:00:00"/>
    <s v="Wednesday"/>
    <x v="1"/>
    <n v="2025"/>
    <x v="8"/>
    <x v="0"/>
    <x v="0"/>
    <n v="1"/>
    <n v="60"/>
    <x v="19"/>
    <x v="2"/>
    <x v="1"/>
    <s v="Pending"/>
    <x v="2"/>
  </r>
  <r>
    <x v="245"/>
    <d v="2025-03-21T00:00:00"/>
    <s v="Friday"/>
    <x v="0"/>
    <n v="2025"/>
    <x v="0"/>
    <x v="0"/>
    <x v="0"/>
    <n v="3"/>
    <n v="60"/>
    <x v="0"/>
    <x v="2"/>
    <x v="0"/>
    <s v="Pending"/>
    <x v="2"/>
  </r>
  <r>
    <x v="246"/>
    <d v="2025-03-31T00:00:00"/>
    <s v="Monday"/>
    <x v="0"/>
    <n v="2025"/>
    <x v="7"/>
    <x v="1"/>
    <x v="4"/>
    <n v="4"/>
    <n v="100"/>
    <x v="23"/>
    <x v="2"/>
    <x v="3"/>
    <s v="Pending"/>
    <x v="2"/>
  </r>
  <r>
    <x v="247"/>
    <d v="2025-02-09T00:00:00"/>
    <s v="Sunday"/>
    <x v="1"/>
    <n v="2025"/>
    <x v="1"/>
    <x v="1"/>
    <x v="7"/>
    <n v="1"/>
    <n v="150"/>
    <x v="34"/>
    <x v="1"/>
    <x v="1"/>
    <s v="Pending"/>
    <x v="2"/>
  </r>
  <r>
    <x v="248"/>
    <d v="2025-03-30T00:00:00"/>
    <s v="Sunday"/>
    <x v="0"/>
    <n v="2025"/>
    <x v="5"/>
    <x v="1"/>
    <x v="1"/>
    <n v="4"/>
    <n v="500"/>
    <x v="30"/>
    <x v="0"/>
    <x v="3"/>
    <s v="Pending"/>
    <x v="2"/>
  </r>
  <r>
    <x v="249"/>
    <d v="2025-03-08T00:00:00"/>
    <s v="Saturday"/>
    <x v="0"/>
    <n v="2025"/>
    <x v="4"/>
    <x v="1"/>
    <x v="1"/>
    <n v="4"/>
    <n v="500"/>
    <x v="30"/>
    <x v="4"/>
    <x v="3"/>
    <s v="Pending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D56C9-E25F-43CA-AD0B-7C49336F512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ustomer Name">
  <location ref="A20:B26" firstHeaderRow="1" firstDataRow="1" firstDataCol="1"/>
  <pivotFields count="15">
    <pivotField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 measureFilter="1" sortType="ascending">
      <items count="11">
        <item x="4"/>
        <item x="9"/>
        <item x="8"/>
        <item x="2"/>
        <item x="0"/>
        <item x="7"/>
        <item x="1"/>
        <item x="3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5"/>
  </rowFields>
  <rowItems count="6">
    <i>
      <x v="3"/>
    </i>
    <i>
      <x v="6"/>
    </i>
    <i>
      <x v="4"/>
    </i>
    <i>
      <x v="5"/>
    </i>
    <i>
      <x v="8"/>
    </i>
    <i t="grand">
      <x/>
    </i>
  </rowItems>
  <colItems count="1">
    <i/>
  </colItems>
  <dataFields count="1">
    <dataField name="Total Spending" fld="10" baseField="5" baseItem="8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1E765-E3FC-493E-BC83-5F3FC29836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Status Flag">
  <location ref="J3:K7" firstHeaderRow="1" firstDataRow="1" firstDataCol="1"/>
  <pivotFields count="15">
    <pivotField dataField="1"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4"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5BAEC-1368-412D-9894-169DA26820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5" rowHeaderCaption="Category">
  <location ref="A3:B9" firstHeaderRow="1" firstDataRow="1" firstDataCol="1"/>
  <pivotFields count="15">
    <pivotField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 sortType="descending">
      <items count="6"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Total Sales" fld="10" baseField="6" baseItem="2"/>
  </dataFields>
  <chartFormats count="4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4DC3B-98F1-443C-AD9C-B661217B7F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Location">
  <location ref="D20:E31" firstHeaderRow="1" firstDataRow="1" firstDataCol="1"/>
  <pivotFields count="15">
    <pivotField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11"/>
  </rowFields>
  <rowItems count="11">
    <i>
      <x v="6"/>
    </i>
    <i>
      <x v="3"/>
    </i>
    <i>
      <x v="4"/>
    </i>
    <i>
      <x v="2"/>
    </i>
    <i>
      <x v="9"/>
    </i>
    <i>
      <x/>
    </i>
    <i>
      <x v="1"/>
    </i>
    <i>
      <x v="7"/>
    </i>
    <i>
      <x v="5"/>
    </i>
    <i>
      <x v="8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79FD6-1B0B-488F-ADB9-9970B3A71B9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9" rowHeaderCaption="Product">
  <location ref="D3:E14" firstHeaderRow="1" firstDataRow="1" firstDataCol="1"/>
  <pivotFields count="15">
    <pivotField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axis="axisRow" showAll="0" sortType="ascending">
      <items count="11">
        <item x="5"/>
        <item x="4"/>
        <item x="8"/>
        <item x="9"/>
        <item x="3"/>
        <item x="0"/>
        <item x="1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37">
        <item x="8"/>
        <item x="28"/>
        <item x="35"/>
        <item x="10"/>
        <item x="20"/>
        <item x="19"/>
        <item x="29"/>
        <item x="22"/>
        <item x="11"/>
        <item x="1"/>
        <item x="34"/>
        <item x="24"/>
        <item x="0"/>
        <item x="18"/>
        <item x="31"/>
        <item x="5"/>
        <item x="23"/>
        <item x="27"/>
        <item x="2"/>
        <item x="7"/>
        <item x="15"/>
        <item x="25"/>
        <item x="16"/>
        <item x="4"/>
        <item x="14"/>
        <item x="21"/>
        <item x="3"/>
        <item x="30"/>
        <item x="9"/>
        <item x="12"/>
        <item x="32"/>
        <item x="33"/>
        <item x="6"/>
        <item x="26"/>
        <item x="13"/>
        <item x="17"/>
        <item t="default"/>
      </items>
    </pivotField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7"/>
  </rowFields>
  <rowItems count="11">
    <i>
      <x/>
    </i>
    <i>
      <x v="8"/>
    </i>
    <i>
      <x v="2"/>
    </i>
    <i>
      <x v="5"/>
    </i>
    <i>
      <x v="1"/>
    </i>
    <i>
      <x v="7"/>
    </i>
    <i>
      <x v="9"/>
    </i>
    <i>
      <x v="6"/>
    </i>
    <i>
      <x v="3"/>
    </i>
    <i>
      <x v="4"/>
    </i>
    <i t="grand">
      <x/>
    </i>
  </rowItems>
  <colItems count="1">
    <i/>
  </colItems>
  <dataFields count="1">
    <dataField name="Sum of Total Sales" fld="10" baseField="0" baseItem="0"/>
  </dataFields>
  <chartFormats count="2"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96778-DA6F-4047-A5D7-856C7790AF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Payment Method">
  <location ref="G3:H9" firstHeaderRow="1" firstDataRow="1" firstDataCol="1"/>
  <pivotFields count="15">
    <pivotField dataField="1"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</pivotFields>
  <rowFields count="1">
    <field x="12"/>
  </rowFields>
  <rowItems count="6">
    <i>
      <x v="4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73746-8988-41D5-A726-2B63404726E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1" firstHeaderRow="1" firstDataRow="2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Items count="1">
    <i/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D027A-8093-422B-A7DF-26F3E150203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2" firstHeaderRow="0" firstDataRow="1" firstDataCol="0"/>
  <pivotFields count="15">
    <pivotField dataField="1"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al Sales" fld="10" baseField="0" baseItem="0" numFmtId="164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D2674-8242-49C0-A53E-5B3401DDD1C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E12" firstHeaderRow="0" firstDataRow="1" firstDataCol="0"/>
  <pivotFields count="15">
    <pivotField showAll="0"/>
    <pivotField numFmtId="1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>
      <items count="11">
        <item x="4"/>
        <item x="6"/>
        <item x="5"/>
        <item x="1"/>
        <item x="7"/>
        <item x="8"/>
        <item x="3"/>
        <item x="0"/>
        <item x="2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9" subtotal="average" baseField="0" baseItem="0" numFmtId="1"/>
    <dataField name="Max of Price" fld="9" subtotal="max" baseField="0" baseItem="1"/>
    <dataField name="Min of Price" fld="9" subtotal="min" baseField="0" baseItem="1"/>
  </dataFields>
  <formats count="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0D8FD-3567-494C-8163-F27547811361}" name="Table3" displayName="Table3" ref="B3:E4" totalsRowShown="0" headerRowDxfId="8" headerRowBorderDxfId="6" tableBorderDxfId="7">
  <autoFilter ref="B3:E4" xr:uid="{82E0D8FD-3567-494C-8163-F27547811361}"/>
  <tableColumns count="4">
    <tableColumn id="1" xr3:uid="{B7DD614F-C165-4AA2-B397-94FC42B2F188}" name="Orders Cancelled %" dataDxfId="5">
      <calculatedColumnFormula>GETPIVOTDATA("Order ID",$A$19,"Status Flag","Cancelled")/GETPIVOTDATA("Order ID",$A$19)</calculatedColumnFormula>
    </tableColumn>
    <tableColumn id="2" xr3:uid="{A048604B-FB44-499B-B156-EBF7261149EA}" name="Orders Pending %" dataDxfId="4">
      <calculatedColumnFormula>GETPIVOTDATA("Order ID",$A$19,"Status Flag","Pending")/GETPIVOTDATA("Order ID",$A$19)</calculatedColumnFormula>
    </tableColumn>
    <tableColumn id="3" xr3:uid="{C43D6B68-DA1B-48AD-B55B-904458175C8C}" name="Orders Completed %" dataDxfId="3" dataCellStyle="Percent">
      <calculatedColumnFormula>GETPIVOTDATA("Order ID",$A$19,"Status Flag","Completed")/GETPIVOTDATA("Order ID",$A$19)</calculatedColumnFormula>
    </tableColumn>
    <tableColumn id="4" xr3:uid="{08562DF6-D22C-404A-A393-C8CAD47F5E72}" name="Total Orders %" dataDxfId="2" dataCellStyle="Percent">
      <calculatedColumnFormula>GETPIVOTDATA("Order ID",$A$19)/GETPIVOTDATA("Order ID",$A$19)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FE89-96DD-4EAF-BFC4-F4E120B2019B}">
  <dimension ref="A1:O250"/>
  <sheetViews>
    <sheetView workbookViewId="0">
      <selection activeCell="J13" sqref="J13"/>
    </sheetView>
  </sheetViews>
  <sheetFormatPr defaultRowHeight="14.4" x14ac:dyDescent="0.3"/>
  <cols>
    <col min="2" max="2" width="10.33203125" bestFit="1" customWidth="1"/>
  </cols>
  <sheetData>
    <row r="1" spans="1:15" x14ac:dyDescent="0.3">
      <c r="A1" s="1" t="s">
        <v>0</v>
      </c>
      <c r="B1" s="2">
        <v>45730</v>
      </c>
      <c r="C1" s="3" t="e">
        <f>TEXT([1]!Table1[[#This Row],[Date]],"dddd")</f>
        <v>#VALUE!</v>
      </c>
      <c r="D1" s="3" t="s">
        <v>1</v>
      </c>
      <c r="E1" s="3">
        <v>2025</v>
      </c>
      <c r="F1" s="3" t="s">
        <v>2</v>
      </c>
      <c r="G1" s="3" t="s">
        <v>3</v>
      </c>
      <c r="H1" s="3" t="s">
        <v>4</v>
      </c>
      <c r="I1" s="3">
        <v>3</v>
      </c>
      <c r="J1" s="3">
        <v>60</v>
      </c>
      <c r="K1" s="3">
        <v>180</v>
      </c>
      <c r="L1" s="3" t="s">
        <v>5</v>
      </c>
      <c r="M1" s="3" t="s">
        <v>6</v>
      </c>
      <c r="N1" s="3" t="s">
        <v>7</v>
      </c>
      <c r="O1" s="4" t="str">
        <f>IF(ISNUMBER(SEARCH("cancel",[1]!Table1[[#This Row],[Status]])),"Cancelled",
IF(ISNUMBER(SEARCH("pend",[1]!Table1[[#This Row],[Status]])),"Pending","Completed"))</f>
        <v>Completed</v>
      </c>
    </row>
    <row r="2" spans="1:15" x14ac:dyDescent="0.3">
      <c r="A2" s="5" t="s">
        <v>8</v>
      </c>
      <c r="B2" s="6">
        <v>45703</v>
      </c>
      <c r="C2" s="7" t="str">
        <f>TEXT([1]!Table1[[#This Row],[Date]],"dddd")</f>
        <v>Friday</v>
      </c>
      <c r="D2" s="7" t="s">
        <v>9</v>
      </c>
      <c r="E2" s="7">
        <v>2025</v>
      </c>
      <c r="F2" s="7" t="s">
        <v>10</v>
      </c>
      <c r="G2" s="7" t="s">
        <v>3</v>
      </c>
      <c r="H2" s="7" t="s">
        <v>4</v>
      </c>
      <c r="I2" s="7">
        <v>2</v>
      </c>
      <c r="J2" s="7">
        <v>60</v>
      </c>
      <c r="K2" s="7">
        <v>120</v>
      </c>
      <c r="L2" s="7" t="s">
        <v>11</v>
      </c>
      <c r="M2" s="7" t="s">
        <v>12</v>
      </c>
      <c r="N2" s="7" t="s">
        <v>7</v>
      </c>
      <c r="O2" s="8" t="str">
        <f>IF(ISNUMBER(SEARCH("cancel",[1]!Table1[[#This Row],[Status]])),"Cancelled",
IF(ISNUMBER(SEARCH("pend",[1]!Table1[[#This Row],[Status]])),"Pending","Completed"))</f>
        <v>Cancelled</v>
      </c>
    </row>
    <row r="3" spans="1:15" x14ac:dyDescent="0.3">
      <c r="A3" s="1" t="s">
        <v>13</v>
      </c>
      <c r="B3" s="2">
        <v>45728</v>
      </c>
      <c r="C3" s="3" t="str">
        <f>TEXT([1]!Table1[[#This Row],[Date]],"dddd")</f>
        <v>Saturday</v>
      </c>
      <c r="D3" s="3" t="s">
        <v>1</v>
      </c>
      <c r="E3" s="3">
        <v>2025</v>
      </c>
      <c r="F3" s="3" t="s">
        <v>14</v>
      </c>
      <c r="G3" s="3" t="s">
        <v>15</v>
      </c>
      <c r="H3" s="3" t="s">
        <v>16</v>
      </c>
      <c r="I3" s="3">
        <v>1</v>
      </c>
      <c r="J3" s="3">
        <v>500</v>
      </c>
      <c r="K3" s="3">
        <v>500</v>
      </c>
      <c r="L3" s="3" t="s">
        <v>17</v>
      </c>
      <c r="M3" s="3" t="s">
        <v>12</v>
      </c>
      <c r="N3" s="3" t="s">
        <v>7</v>
      </c>
      <c r="O3" s="4" t="str">
        <f>IF(ISNUMBER(SEARCH("cancel",[1]!Table1[[#This Row],[Status]])),"Cancelled",
IF(ISNUMBER(SEARCH("pend",[1]!Table1[[#This Row],[Status]])),"Pending","Completed"))</f>
        <v>Cancelled</v>
      </c>
    </row>
    <row r="4" spans="1:15" x14ac:dyDescent="0.3">
      <c r="A4" s="5" t="s">
        <v>18</v>
      </c>
      <c r="B4" s="6">
        <v>45720</v>
      </c>
      <c r="C4" s="7" t="str">
        <f>TEXT([1]!Table1[[#This Row],[Date]],"dddd")</f>
        <v>Wednesday</v>
      </c>
      <c r="D4" s="7" t="s">
        <v>1</v>
      </c>
      <c r="E4" s="7">
        <v>2025</v>
      </c>
      <c r="F4" s="7" t="s">
        <v>19</v>
      </c>
      <c r="G4" s="7" t="s">
        <v>20</v>
      </c>
      <c r="H4" s="7" t="s">
        <v>21</v>
      </c>
      <c r="I4" s="7">
        <v>3</v>
      </c>
      <c r="J4" s="7">
        <v>600</v>
      </c>
      <c r="K4" s="7">
        <v>1800</v>
      </c>
      <c r="L4" s="7" t="s">
        <v>22</v>
      </c>
      <c r="M4" s="7" t="s">
        <v>12</v>
      </c>
      <c r="N4" s="7" t="s">
        <v>7</v>
      </c>
      <c r="O4" s="8" t="str">
        <f>IF(ISNUMBER(SEARCH("cancel",[1]!Table1[[#This Row],[Status]])),"Cancelled",
IF(ISNUMBER(SEARCH("pend",[1]!Table1[[#This Row],[Status]])),"Pending","Completed"))</f>
        <v>Cancelled</v>
      </c>
    </row>
    <row r="5" spans="1:15" x14ac:dyDescent="0.3">
      <c r="A5" s="1" t="s">
        <v>23</v>
      </c>
      <c r="B5" s="2">
        <v>45714</v>
      </c>
      <c r="C5" s="3" t="str">
        <f>TEXT([1]!Table1[[#This Row],[Date]],"dddd")</f>
        <v>Tuesday</v>
      </c>
      <c r="D5" s="3" t="s">
        <v>9</v>
      </c>
      <c r="E5" s="3">
        <v>2025</v>
      </c>
      <c r="F5" s="3" t="s">
        <v>10</v>
      </c>
      <c r="G5" s="3" t="s">
        <v>20</v>
      </c>
      <c r="H5" s="3" t="s">
        <v>24</v>
      </c>
      <c r="I5" s="3">
        <v>1</v>
      </c>
      <c r="J5" s="3">
        <v>1200</v>
      </c>
      <c r="K5" s="3">
        <v>1200</v>
      </c>
      <c r="L5" s="3" t="s">
        <v>25</v>
      </c>
      <c r="M5" s="3" t="s">
        <v>26</v>
      </c>
      <c r="N5" s="3" t="s">
        <v>7</v>
      </c>
      <c r="O5" s="4" t="str">
        <f>IF(ISNUMBER(SEARCH("cancel",[1]!Table1[[#This Row],[Status]])),"Cancelled",
IF(ISNUMBER(SEARCH("pend",[1]!Table1[[#This Row],[Status]])),"Pending","Completed"))</f>
        <v>Cancelled</v>
      </c>
    </row>
    <row r="6" spans="1:15" x14ac:dyDescent="0.3">
      <c r="A6" s="5" t="s">
        <v>27</v>
      </c>
      <c r="B6" s="6">
        <v>45693</v>
      </c>
      <c r="C6" s="7" t="str">
        <f>TEXT([1]!Table1[[#This Row],[Date]],"dddd")</f>
        <v>Wednesday</v>
      </c>
      <c r="D6" s="7" t="s">
        <v>9</v>
      </c>
      <c r="E6" s="7">
        <v>2025</v>
      </c>
      <c r="F6" s="7" t="s">
        <v>28</v>
      </c>
      <c r="G6" s="7" t="s">
        <v>15</v>
      </c>
      <c r="H6" s="7" t="s">
        <v>29</v>
      </c>
      <c r="I6" s="7">
        <v>3</v>
      </c>
      <c r="J6" s="7">
        <v>100</v>
      </c>
      <c r="K6" s="7">
        <v>300</v>
      </c>
      <c r="L6" s="7" t="s">
        <v>22</v>
      </c>
      <c r="M6" s="7" t="s">
        <v>12</v>
      </c>
      <c r="N6" s="7" t="s">
        <v>7</v>
      </c>
      <c r="O6" s="8" t="str">
        <f>IF(ISNUMBER(SEARCH("cancel",[1]!Table1[[#This Row],[Status]])),"Cancelled",
IF(ISNUMBER(SEARCH("pend",[1]!Table1[[#This Row],[Status]])),"Pending","Completed"))</f>
        <v>Cancelled</v>
      </c>
    </row>
    <row r="7" spans="1:15" x14ac:dyDescent="0.3">
      <c r="A7" s="1" t="s">
        <v>30</v>
      </c>
      <c r="B7" s="2">
        <v>45740</v>
      </c>
      <c r="C7" s="3" t="str">
        <f>TEXT([1]!Table1[[#This Row],[Date]],"dddd")</f>
        <v>Wednesday</v>
      </c>
      <c r="D7" s="3" t="s">
        <v>1</v>
      </c>
      <c r="E7" s="3">
        <v>2025</v>
      </c>
      <c r="F7" s="3" t="s">
        <v>28</v>
      </c>
      <c r="G7" s="3" t="s">
        <v>20</v>
      </c>
      <c r="H7" s="3" t="s">
        <v>24</v>
      </c>
      <c r="I7" s="3">
        <v>3</v>
      </c>
      <c r="J7" s="3">
        <v>1200</v>
      </c>
      <c r="K7" s="3">
        <v>3600</v>
      </c>
      <c r="L7" s="3" t="s">
        <v>31</v>
      </c>
      <c r="M7" s="3" t="s">
        <v>26</v>
      </c>
      <c r="N7" s="3" t="s">
        <v>7</v>
      </c>
      <c r="O7" s="4" t="str">
        <f>IF(ISNUMBER(SEARCH("cancel",[1]!Table1[[#This Row],[Status]])),"Cancelled",
IF(ISNUMBER(SEARCH("pend",[1]!Table1[[#This Row],[Status]])),"Pending","Completed"))</f>
        <v>Cancelled</v>
      </c>
    </row>
    <row r="8" spans="1:15" x14ac:dyDescent="0.3">
      <c r="A8" s="5" t="s">
        <v>32</v>
      </c>
      <c r="B8" s="6">
        <v>45702</v>
      </c>
      <c r="C8" s="7" t="str">
        <f>TEXT([1]!Table1[[#This Row],[Date]],"dddd")</f>
        <v>Monday</v>
      </c>
      <c r="D8" s="7" t="s">
        <v>9</v>
      </c>
      <c r="E8" s="7">
        <v>2025</v>
      </c>
      <c r="F8" s="7" t="s">
        <v>33</v>
      </c>
      <c r="G8" s="7" t="s">
        <v>20</v>
      </c>
      <c r="H8" s="7" t="s">
        <v>21</v>
      </c>
      <c r="I8" s="7">
        <v>1</v>
      </c>
      <c r="J8" s="7">
        <v>600</v>
      </c>
      <c r="K8" s="7">
        <v>600</v>
      </c>
      <c r="L8" s="7" t="s">
        <v>25</v>
      </c>
      <c r="M8" s="7" t="s">
        <v>12</v>
      </c>
      <c r="N8" s="7" t="s">
        <v>7</v>
      </c>
      <c r="O8" s="8" t="str">
        <f>IF(ISNUMBER(SEARCH("cancel",[1]!Table1[[#This Row],[Status]])),"Cancelled",
IF(ISNUMBER(SEARCH("pend",[1]!Table1[[#This Row],[Status]])),"Pending","Completed"))</f>
        <v>Cancelled</v>
      </c>
    </row>
    <row r="9" spans="1:15" x14ac:dyDescent="0.3">
      <c r="A9" s="1" t="s">
        <v>34</v>
      </c>
      <c r="B9" s="2">
        <v>45700</v>
      </c>
      <c r="C9" s="3" t="str">
        <f>TEXT([1]!Table1[[#This Row],[Date]],"dddd")</f>
        <v>Friday</v>
      </c>
      <c r="D9" s="3" t="s">
        <v>9</v>
      </c>
      <c r="E9" s="3">
        <v>2025</v>
      </c>
      <c r="F9" s="3" t="s">
        <v>35</v>
      </c>
      <c r="G9" s="3" t="s">
        <v>15</v>
      </c>
      <c r="H9" s="3" t="s">
        <v>16</v>
      </c>
      <c r="I9" s="3">
        <v>1</v>
      </c>
      <c r="J9" s="3">
        <v>500</v>
      </c>
      <c r="K9" s="3">
        <v>500</v>
      </c>
      <c r="L9" s="3" t="s">
        <v>11</v>
      </c>
      <c r="M9" s="3" t="s">
        <v>36</v>
      </c>
      <c r="N9" s="3" t="s">
        <v>7</v>
      </c>
      <c r="O9" s="4" t="str">
        <f>IF(ISNUMBER(SEARCH("cancel",[1]!Table1[[#This Row],[Status]])),"Cancelled",
IF(ISNUMBER(SEARCH("pend",[1]!Table1[[#This Row],[Status]])),"Pending","Completed"))</f>
        <v>Cancelled</v>
      </c>
    </row>
    <row r="10" spans="1:15" x14ac:dyDescent="0.3">
      <c r="A10" s="5" t="s">
        <v>37</v>
      </c>
      <c r="B10" s="6">
        <v>45698</v>
      </c>
      <c r="C10" s="7" t="str">
        <f>TEXT([1]!Table1[[#This Row],[Date]],"dddd")</f>
        <v>Wednesday</v>
      </c>
      <c r="D10" s="7" t="s">
        <v>9</v>
      </c>
      <c r="E10" s="7">
        <v>2025</v>
      </c>
      <c r="F10" s="7" t="s">
        <v>14</v>
      </c>
      <c r="G10" s="7" t="s">
        <v>20</v>
      </c>
      <c r="H10" s="7" t="s">
        <v>21</v>
      </c>
      <c r="I10" s="7">
        <v>3</v>
      </c>
      <c r="J10" s="7">
        <v>600</v>
      </c>
      <c r="K10" s="7">
        <v>1800</v>
      </c>
      <c r="L10" s="7" t="s">
        <v>31</v>
      </c>
      <c r="M10" s="7" t="s">
        <v>26</v>
      </c>
      <c r="N10" s="7" t="s">
        <v>7</v>
      </c>
      <c r="O10" s="8" t="str">
        <f>IF(ISNUMBER(SEARCH("cancel",[1]!Table1[[#This Row],[Status]])),"Cancelled",
IF(ISNUMBER(SEARCH("pend",[1]!Table1[[#This Row],[Status]])),"Pending","Completed"))</f>
        <v>Cancelled</v>
      </c>
    </row>
    <row r="11" spans="1:15" x14ac:dyDescent="0.3">
      <c r="A11" s="1" t="s">
        <v>38</v>
      </c>
      <c r="B11" s="2">
        <v>45692</v>
      </c>
      <c r="C11" s="3" t="str">
        <f>TEXT([1]!Table1[[#This Row],[Date]],"dddd")</f>
        <v>Monday</v>
      </c>
      <c r="D11" s="3" t="s">
        <v>9</v>
      </c>
      <c r="E11" s="3">
        <v>2025</v>
      </c>
      <c r="F11" s="3" t="s">
        <v>33</v>
      </c>
      <c r="G11" s="3" t="s">
        <v>39</v>
      </c>
      <c r="H11" s="3" t="s">
        <v>40</v>
      </c>
      <c r="I11" s="3">
        <v>1</v>
      </c>
      <c r="J11" s="3">
        <v>15</v>
      </c>
      <c r="K11" s="3">
        <v>15</v>
      </c>
      <c r="L11" s="3" t="s">
        <v>5</v>
      </c>
      <c r="M11" s="3" t="s">
        <v>41</v>
      </c>
      <c r="N11" s="3" t="s">
        <v>7</v>
      </c>
      <c r="O11" s="4" t="str">
        <f>IF(ISNUMBER(SEARCH("cancel",[1]!Table1[[#This Row],[Status]])),"Cancelled",
IF(ISNUMBER(SEARCH("pend",[1]!Table1[[#This Row],[Status]])),"Pending","Completed"))</f>
        <v>Cancelled</v>
      </c>
    </row>
    <row r="12" spans="1:15" x14ac:dyDescent="0.3">
      <c r="A12" s="5" t="s">
        <v>42</v>
      </c>
      <c r="B12" s="6">
        <v>45697</v>
      </c>
      <c r="C12" s="7" t="str">
        <f>TEXT([1]!Table1[[#This Row],[Date]],"dddd")</f>
        <v>Tuesday</v>
      </c>
      <c r="D12" s="7" t="s">
        <v>9</v>
      </c>
      <c r="E12" s="7">
        <v>2025</v>
      </c>
      <c r="F12" s="7" t="s">
        <v>35</v>
      </c>
      <c r="G12" s="7" t="s">
        <v>20</v>
      </c>
      <c r="H12" s="7" t="s">
        <v>24</v>
      </c>
      <c r="I12" s="7">
        <v>2</v>
      </c>
      <c r="J12" s="7">
        <v>1200</v>
      </c>
      <c r="K12" s="7">
        <v>2400</v>
      </c>
      <c r="L12" s="7" t="s">
        <v>25</v>
      </c>
      <c r="M12" s="7" t="s">
        <v>26</v>
      </c>
      <c r="N12" s="7" t="s">
        <v>7</v>
      </c>
      <c r="O12" s="8" t="str">
        <f>IF(ISNUMBER(SEARCH("cancel",[1]!Table1[[#This Row],[Status]])),"Cancelled",
IF(ISNUMBER(SEARCH("pend",[1]!Table1[[#This Row],[Status]])),"Pending","Completed"))</f>
        <v>Cancelled</v>
      </c>
    </row>
    <row r="13" spans="1:15" x14ac:dyDescent="0.3">
      <c r="A13" s="1" t="s">
        <v>43</v>
      </c>
      <c r="B13" s="2">
        <v>45704</v>
      </c>
      <c r="C13" s="3" t="str">
        <f>TEXT([1]!Table1[[#This Row],[Date]],"dddd")</f>
        <v>Sunday</v>
      </c>
      <c r="D13" s="3" t="s">
        <v>9</v>
      </c>
      <c r="E13" s="3">
        <v>2025</v>
      </c>
      <c r="F13" s="3" t="s">
        <v>19</v>
      </c>
      <c r="G13" s="3" t="s">
        <v>15</v>
      </c>
      <c r="H13" s="3" t="s">
        <v>29</v>
      </c>
      <c r="I13" s="3">
        <v>3</v>
      </c>
      <c r="J13" s="3">
        <v>100</v>
      </c>
      <c r="K13" s="3">
        <v>300</v>
      </c>
      <c r="L13" s="3" t="s">
        <v>5</v>
      </c>
      <c r="M13" s="3" t="s">
        <v>12</v>
      </c>
      <c r="N13" s="3" t="s">
        <v>7</v>
      </c>
      <c r="O13" s="4" t="str">
        <f>IF(ISNUMBER(SEARCH("cancel",[1]!Table1[[#This Row],[Status]])),"Cancelled",
IF(ISNUMBER(SEARCH("pend",[1]!Table1[[#This Row],[Status]])),"Pending","Completed"))</f>
        <v>Cancelled</v>
      </c>
    </row>
    <row r="14" spans="1:15" x14ac:dyDescent="0.3">
      <c r="A14" s="5" t="s">
        <v>44</v>
      </c>
      <c r="B14" s="6">
        <v>45708</v>
      </c>
      <c r="C14" s="7" t="str">
        <f>TEXT([1]!Table1[[#This Row],[Date]],"dddd")</f>
        <v>Sunday</v>
      </c>
      <c r="D14" s="7" t="s">
        <v>9</v>
      </c>
      <c r="E14" s="7">
        <v>2025</v>
      </c>
      <c r="F14" s="7" t="s">
        <v>45</v>
      </c>
      <c r="G14" s="7" t="s">
        <v>39</v>
      </c>
      <c r="H14" s="7" t="s">
        <v>40</v>
      </c>
      <c r="I14" s="7">
        <v>1</v>
      </c>
      <c r="J14" s="7">
        <v>15</v>
      </c>
      <c r="K14" s="7">
        <v>15</v>
      </c>
      <c r="L14" s="7" t="s">
        <v>22</v>
      </c>
      <c r="M14" s="7" t="s">
        <v>6</v>
      </c>
      <c r="N14" s="7" t="s">
        <v>7</v>
      </c>
      <c r="O14" s="8" t="str">
        <f>IF(ISNUMBER(SEARCH("cancel",[1]!Table1[[#This Row],[Status]])),"Cancelled",
IF(ISNUMBER(SEARCH("pend",[1]!Table1[[#This Row],[Status]])),"Pending","Completed"))</f>
        <v>Cancelled</v>
      </c>
    </row>
    <row r="15" spans="1:15" x14ac:dyDescent="0.3">
      <c r="A15" s="1" t="s">
        <v>46</v>
      </c>
      <c r="B15" s="2">
        <v>45733</v>
      </c>
      <c r="C15" s="3" t="str">
        <f>TEXT([1]!Table1[[#This Row],[Date]],"dddd")</f>
        <v>Thursday</v>
      </c>
      <c r="D15" s="3" t="s">
        <v>1</v>
      </c>
      <c r="E15" s="3">
        <v>2025</v>
      </c>
      <c r="F15" s="3" t="s">
        <v>45</v>
      </c>
      <c r="G15" s="3" t="s">
        <v>15</v>
      </c>
      <c r="H15" s="3" t="s">
        <v>29</v>
      </c>
      <c r="I15" s="3">
        <v>3</v>
      </c>
      <c r="J15" s="3">
        <v>100</v>
      </c>
      <c r="K15" s="3">
        <v>300</v>
      </c>
      <c r="L15" s="3" t="s">
        <v>47</v>
      </c>
      <c r="M15" s="3" t="s">
        <v>26</v>
      </c>
      <c r="N15" s="3" t="s">
        <v>7</v>
      </c>
      <c r="O15" s="4" t="str">
        <f>IF(ISNUMBER(SEARCH("cancel",[1]!Table1[[#This Row],[Status]])),"Cancelled",
IF(ISNUMBER(SEARCH("pend",[1]!Table1[[#This Row],[Status]])),"Pending","Completed"))</f>
        <v>Cancelled</v>
      </c>
    </row>
    <row r="16" spans="1:15" x14ac:dyDescent="0.3">
      <c r="A16" s="5" t="s">
        <v>48</v>
      </c>
      <c r="B16" s="6">
        <v>45722</v>
      </c>
      <c r="C16" s="7" t="str">
        <f>TEXT([1]!Table1[[#This Row],[Date]],"dddd")</f>
        <v>Monday</v>
      </c>
      <c r="D16" s="7" t="s">
        <v>1</v>
      </c>
      <c r="E16" s="7">
        <v>2025</v>
      </c>
      <c r="F16" s="7" t="s">
        <v>49</v>
      </c>
      <c r="G16" s="7" t="s">
        <v>3</v>
      </c>
      <c r="H16" s="7" t="s">
        <v>4</v>
      </c>
      <c r="I16" s="7">
        <v>2</v>
      </c>
      <c r="J16" s="7">
        <v>60</v>
      </c>
      <c r="K16" s="7">
        <v>120</v>
      </c>
      <c r="L16" s="7" t="s">
        <v>50</v>
      </c>
      <c r="M16" s="7" t="s">
        <v>36</v>
      </c>
      <c r="N16" s="7" t="s">
        <v>7</v>
      </c>
      <c r="O16" s="8" t="str">
        <f>IF(ISNUMBER(SEARCH("cancel",[1]!Table1[[#This Row],[Status]])),"Cancelled",
IF(ISNUMBER(SEARCH("pend",[1]!Table1[[#This Row],[Status]])),"Pending","Completed"))</f>
        <v>Cancelled</v>
      </c>
    </row>
    <row r="17" spans="1:15" x14ac:dyDescent="0.3">
      <c r="A17" s="1" t="s">
        <v>51</v>
      </c>
      <c r="B17" s="2">
        <v>45742</v>
      </c>
      <c r="C17" s="3" t="str">
        <f>TEXT([1]!Table1[[#This Row],[Date]],"dddd")</f>
        <v>Thursday</v>
      </c>
      <c r="D17" s="3" t="s">
        <v>1</v>
      </c>
      <c r="E17" s="3">
        <v>2025</v>
      </c>
      <c r="F17" s="3" t="s">
        <v>28</v>
      </c>
      <c r="G17" s="3" t="s">
        <v>52</v>
      </c>
      <c r="H17" s="3" t="s">
        <v>53</v>
      </c>
      <c r="I17" s="3">
        <v>2</v>
      </c>
      <c r="J17" s="3">
        <v>20</v>
      </c>
      <c r="K17" s="3">
        <v>40</v>
      </c>
      <c r="L17" s="3" t="s">
        <v>22</v>
      </c>
      <c r="M17" s="3" t="s">
        <v>36</v>
      </c>
      <c r="N17" s="3" t="s">
        <v>7</v>
      </c>
      <c r="O17" s="4" t="str">
        <f>IF(ISNUMBER(SEARCH("cancel",[1]!Table1[[#This Row],[Status]])),"Cancelled",
IF(ISNUMBER(SEARCH("pend",[1]!Table1[[#This Row],[Status]])),"Pending","Completed"))</f>
        <v>Cancelled</v>
      </c>
    </row>
    <row r="18" spans="1:15" x14ac:dyDescent="0.3">
      <c r="A18" s="5" t="s">
        <v>54</v>
      </c>
      <c r="B18" s="6">
        <v>45707</v>
      </c>
      <c r="C18" s="7" t="str">
        <f>TEXT([1]!Table1[[#This Row],[Date]],"dddd")</f>
        <v>Wednesday</v>
      </c>
      <c r="D18" s="7" t="s">
        <v>9</v>
      </c>
      <c r="E18" s="7">
        <v>2025</v>
      </c>
      <c r="F18" s="7" t="s">
        <v>2</v>
      </c>
      <c r="G18" s="7" t="s">
        <v>39</v>
      </c>
      <c r="H18" s="7" t="s">
        <v>40</v>
      </c>
      <c r="I18" s="7">
        <v>1</v>
      </c>
      <c r="J18" s="7">
        <v>15</v>
      </c>
      <c r="K18" s="7">
        <v>15</v>
      </c>
      <c r="L18" s="7" t="s">
        <v>50</v>
      </c>
      <c r="M18" s="7" t="s">
        <v>26</v>
      </c>
      <c r="N18" s="7" t="s">
        <v>7</v>
      </c>
      <c r="O18" s="8" t="str">
        <f>IF(ISNUMBER(SEARCH("cancel",[1]!Table1[[#This Row],[Status]])),"Cancelled",
IF(ISNUMBER(SEARCH("pend",[1]!Table1[[#This Row],[Status]])),"Pending","Completed"))</f>
        <v>Cancelled</v>
      </c>
    </row>
    <row r="19" spans="1:15" x14ac:dyDescent="0.3">
      <c r="A19" s="1" t="s">
        <v>55</v>
      </c>
      <c r="B19" s="2">
        <v>45731</v>
      </c>
      <c r="C19" s="3" t="str">
        <f>TEXT([1]!Table1[[#This Row],[Date]],"dddd")</f>
        <v>Wednesday</v>
      </c>
      <c r="D19" s="3" t="s">
        <v>1</v>
      </c>
      <c r="E19" s="3">
        <v>2025</v>
      </c>
      <c r="F19" s="3" t="s">
        <v>45</v>
      </c>
      <c r="G19" s="3" t="s">
        <v>15</v>
      </c>
      <c r="H19" s="3" t="s">
        <v>16</v>
      </c>
      <c r="I19" s="3">
        <v>1</v>
      </c>
      <c r="J19" s="3">
        <v>500</v>
      </c>
      <c r="K19" s="3">
        <v>500</v>
      </c>
      <c r="L19" s="3" t="s">
        <v>56</v>
      </c>
      <c r="M19" s="3" t="s">
        <v>41</v>
      </c>
      <c r="N19" s="3" t="s">
        <v>7</v>
      </c>
      <c r="O19" s="4" t="str">
        <f>IF(ISNUMBER(SEARCH("cancel",[1]!Table1[[#This Row],[Status]])),"Cancelled",
IF(ISNUMBER(SEARCH("pend",[1]!Table1[[#This Row],[Status]])),"Pending","Completed"))</f>
        <v>Cancelled</v>
      </c>
    </row>
    <row r="20" spans="1:15" x14ac:dyDescent="0.3">
      <c r="A20" s="5" t="s">
        <v>57</v>
      </c>
      <c r="B20" s="6">
        <v>45729</v>
      </c>
      <c r="C20" s="7" t="str">
        <f>TEXT([1]!Table1[[#This Row],[Date]],"dddd")</f>
        <v>Saturday</v>
      </c>
      <c r="D20" s="7" t="s">
        <v>1</v>
      </c>
      <c r="E20" s="7">
        <v>2025</v>
      </c>
      <c r="F20" s="7" t="s">
        <v>45</v>
      </c>
      <c r="G20" s="7" t="s">
        <v>15</v>
      </c>
      <c r="H20" s="7" t="s">
        <v>16</v>
      </c>
      <c r="I20" s="7">
        <v>1</v>
      </c>
      <c r="J20" s="7">
        <v>500</v>
      </c>
      <c r="K20" s="7">
        <v>500</v>
      </c>
      <c r="L20" s="7" t="s">
        <v>47</v>
      </c>
      <c r="M20" s="7" t="s">
        <v>12</v>
      </c>
      <c r="N20" s="7" t="s">
        <v>7</v>
      </c>
      <c r="O20" s="8" t="str">
        <f>IF(ISNUMBER(SEARCH("cancel",[1]!Table1[[#This Row],[Status]])),"Cancelled",
IF(ISNUMBER(SEARCH("pend",[1]!Table1[[#This Row],[Status]])),"Pending","Completed"))</f>
        <v>Cancelled</v>
      </c>
    </row>
    <row r="21" spans="1:15" x14ac:dyDescent="0.3">
      <c r="A21" s="1" t="s">
        <v>58</v>
      </c>
      <c r="B21" s="2">
        <v>45748</v>
      </c>
      <c r="C21" s="3" t="str">
        <f>TEXT([1]!Table1[[#This Row],[Date]],"dddd")</f>
        <v>Thursday</v>
      </c>
      <c r="D21" s="3" t="s">
        <v>59</v>
      </c>
      <c r="E21" s="3">
        <v>2025</v>
      </c>
      <c r="F21" s="3" t="s">
        <v>60</v>
      </c>
      <c r="G21" s="3" t="s">
        <v>15</v>
      </c>
      <c r="H21" s="3" t="s">
        <v>61</v>
      </c>
      <c r="I21" s="3">
        <v>2</v>
      </c>
      <c r="J21" s="3">
        <v>150</v>
      </c>
      <c r="K21" s="3">
        <v>300</v>
      </c>
      <c r="L21" s="3" t="s">
        <v>31</v>
      </c>
      <c r="M21" s="3" t="s">
        <v>41</v>
      </c>
      <c r="N21" s="3" t="s">
        <v>7</v>
      </c>
      <c r="O21" s="4" t="str">
        <f>IF(ISNUMBER(SEARCH("cancel",[1]!Table1[[#This Row],[Status]])),"Cancelled",
IF(ISNUMBER(SEARCH("pend",[1]!Table1[[#This Row],[Status]])),"Pending","Completed"))</f>
        <v>Cancelled</v>
      </c>
    </row>
    <row r="22" spans="1:15" x14ac:dyDescent="0.3">
      <c r="A22" s="5" t="s">
        <v>62</v>
      </c>
      <c r="B22" s="6">
        <v>45727</v>
      </c>
      <c r="C22" s="7" t="str">
        <f>TEXT([1]!Table1[[#This Row],[Date]],"dddd")</f>
        <v>Tuesday</v>
      </c>
      <c r="D22" s="7" t="s">
        <v>1</v>
      </c>
      <c r="E22" s="7">
        <v>2025</v>
      </c>
      <c r="F22" s="7" t="s">
        <v>45</v>
      </c>
      <c r="G22" s="7" t="s">
        <v>20</v>
      </c>
      <c r="H22" s="7" t="s">
        <v>24</v>
      </c>
      <c r="I22" s="7">
        <v>1</v>
      </c>
      <c r="J22" s="7">
        <v>1200</v>
      </c>
      <c r="K22" s="7">
        <v>1200</v>
      </c>
      <c r="L22" s="7" t="s">
        <v>5</v>
      </c>
      <c r="M22" s="7" t="s">
        <v>26</v>
      </c>
      <c r="N22" s="7" t="s">
        <v>7</v>
      </c>
      <c r="O22" s="8" t="str">
        <f>IF(ISNUMBER(SEARCH("cancel",[1]!Table1[[#This Row],[Status]])),"Cancelled",
IF(ISNUMBER(SEARCH("pend",[1]!Table1[[#This Row],[Status]])),"Pending","Completed"))</f>
        <v>Cancelled</v>
      </c>
    </row>
    <row r="23" spans="1:15" x14ac:dyDescent="0.3">
      <c r="A23" s="1" t="s">
        <v>63</v>
      </c>
      <c r="B23" s="2">
        <v>45711</v>
      </c>
      <c r="C23" s="3" t="str">
        <f>TEXT([1]!Table1[[#This Row],[Date]],"dddd")</f>
        <v>Tuesday</v>
      </c>
      <c r="D23" s="3" t="s">
        <v>9</v>
      </c>
      <c r="E23" s="3">
        <v>2025</v>
      </c>
      <c r="F23" s="3" t="s">
        <v>49</v>
      </c>
      <c r="G23" s="3" t="s">
        <v>15</v>
      </c>
      <c r="H23" s="3" t="s">
        <v>29</v>
      </c>
      <c r="I23" s="3">
        <v>1</v>
      </c>
      <c r="J23" s="3">
        <v>100</v>
      </c>
      <c r="K23" s="3">
        <v>100</v>
      </c>
      <c r="L23" s="3" t="s">
        <v>50</v>
      </c>
      <c r="M23" s="3" t="s">
        <v>12</v>
      </c>
      <c r="N23" s="3" t="s">
        <v>7</v>
      </c>
      <c r="O23" s="4" t="str">
        <f>IF(ISNUMBER(SEARCH("cancel",[1]!Table1[[#This Row],[Status]])),"Cancelled",
IF(ISNUMBER(SEARCH("pend",[1]!Table1[[#This Row],[Status]])),"Pending","Completed"))</f>
        <v>Cancelled</v>
      </c>
    </row>
    <row r="24" spans="1:15" x14ac:dyDescent="0.3">
      <c r="A24" s="5" t="s">
        <v>64</v>
      </c>
      <c r="B24" s="6">
        <v>45708</v>
      </c>
      <c r="C24" s="7" t="str">
        <f>TEXT([1]!Table1[[#This Row],[Date]],"dddd")</f>
        <v>Sunday</v>
      </c>
      <c r="D24" s="7" t="s">
        <v>9</v>
      </c>
      <c r="E24" s="7">
        <v>2025</v>
      </c>
      <c r="F24" s="7" t="s">
        <v>14</v>
      </c>
      <c r="G24" s="7" t="s">
        <v>15</v>
      </c>
      <c r="H24" s="7" t="s">
        <v>16</v>
      </c>
      <c r="I24" s="7">
        <v>5</v>
      </c>
      <c r="J24" s="7">
        <v>500</v>
      </c>
      <c r="K24" s="7">
        <v>2500</v>
      </c>
      <c r="L24" s="7" t="s">
        <v>22</v>
      </c>
      <c r="M24" s="7" t="s">
        <v>36</v>
      </c>
      <c r="N24" s="7" t="s">
        <v>7</v>
      </c>
      <c r="O24" s="8" t="str">
        <f>IF(ISNUMBER(SEARCH("cancel",[1]!Table1[[#This Row],[Status]])),"Cancelled",
IF(ISNUMBER(SEARCH("pend",[1]!Table1[[#This Row],[Status]])),"Pending","Completed"))</f>
        <v>Cancelled</v>
      </c>
    </row>
    <row r="25" spans="1:15" x14ac:dyDescent="0.3">
      <c r="A25" s="1" t="s">
        <v>65</v>
      </c>
      <c r="B25" s="2">
        <v>45741</v>
      </c>
      <c r="C25" s="3" t="str">
        <f>TEXT([1]!Table1[[#This Row],[Date]],"dddd")</f>
        <v>Thursday</v>
      </c>
      <c r="D25" s="3" t="s">
        <v>1</v>
      </c>
      <c r="E25" s="3">
        <v>2025</v>
      </c>
      <c r="F25" s="3" t="s">
        <v>45</v>
      </c>
      <c r="G25" s="3" t="s">
        <v>20</v>
      </c>
      <c r="H25" s="3" t="s">
        <v>24</v>
      </c>
      <c r="I25" s="3">
        <v>4</v>
      </c>
      <c r="J25" s="3">
        <v>1200</v>
      </c>
      <c r="K25" s="3">
        <v>4800</v>
      </c>
      <c r="L25" s="3" t="s">
        <v>31</v>
      </c>
      <c r="M25" s="3" t="s">
        <v>36</v>
      </c>
      <c r="N25" s="3" t="s">
        <v>7</v>
      </c>
      <c r="O25" s="4" t="str">
        <f>IF(ISNUMBER(SEARCH("cancel",[1]!Table1[[#This Row],[Status]])),"Cancelled",
IF(ISNUMBER(SEARCH("pend",[1]!Table1[[#This Row],[Status]])),"Pending","Completed"))</f>
        <v>Cancelled</v>
      </c>
    </row>
    <row r="26" spans="1:15" x14ac:dyDescent="0.3">
      <c r="A26" s="5" t="s">
        <v>66</v>
      </c>
      <c r="B26" s="6">
        <v>45734</v>
      </c>
      <c r="C26" s="7" t="str">
        <f>TEXT([1]!Table1[[#This Row],[Date]],"dddd")</f>
        <v>Tuesday</v>
      </c>
      <c r="D26" s="7" t="s">
        <v>1</v>
      </c>
      <c r="E26" s="7">
        <v>2025</v>
      </c>
      <c r="F26" s="7" t="s">
        <v>2</v>
      </c>
      <c r="G26" s="7" t="s">
        <v>15</v>
      </c>
      <c r="H26" s="7" t="s">
        <v>61</v>
      </c>
      <c r="I26" s="7">
        <v>2</v>
      </c>
      <c r="J26" s="7">
        <v>150</v>
      </c>
      <c r="K26" s="7">
        <v>300</v>
      </c>
      <c r="L26" s="7" t="s">
        <v>56</v>
      </c>
      <c r="M26" s="7" t="s">
        <v>36</v>
      </c>
      <c r="N26" s="7" t="s">
        <v>7</v>
      </c>
      <c r="O26" s="8" t="str">
        <f>IF(ISNUMBER(SEARCH("cancel",[1]!Table1[[#This Row],[Status]])),"Cancelled",
IF(ISNUMBER(SEARCH("pend",[1]!Table1[[#This Row],[Status]])),"Pending","Completed"))</f>
        <v>Cancelled</v>
      </c>
    </row>
    <row r="27" spans="1:15" x14ac:dyDescent="0.3">
      <c r="A27" s="1" t="s">
        <v>67</v>
      </c>
      <c r="B27" s="2">
        <v>45725</v>
      </c>
      <c r="C27" s="3" t="str">
        <f>TEXT([1]!Table1[[#This Row],[Date]],"dddd")</f>
        <v>Tuesday</v>
      </c>
      <c r="D27" s="3" t="s">
        <v>1</v>
      </c>
      <c r="E27" s="3">
        <v>2025</v>
      </c>
      <c r="F27" s="3" t="s">
        <v>14</v>
      </c>
      <c r="G27" s="3" t="s">
        <v>3</v>
      </c>
      <c r="H27" s="3" t="s">
        <v>4</v>
      </c>
      <c r="I27" s="3">
        <v>2</v>
      </c>
      <c r="J27" s="3">
        <v>60</v>
      </c>
      <c r="K27" s="3">
        <v>120</v>
      </c>
      <c r="L27" s="3" t="s">
        <v>11</v>
      </c>
      <c r="M27" s="3" t="s">
        <v>41</v>
      </c>
      <c r="N27" s="3" t="s">
        <v>7</v>
      </c>
      <c r="O27" s="4" t="str">
        <f>IF(ISNUMBER(SEARCH("cancel",[1]!Table1[[#This Row],[Status]])),"Cancelled",
IF(ISNUMBER(SEARCH("pend",[1]!Table1[[#This Row],[Status]])),"Pending","Completed"))</f>
        <v>Cancelled</v>
      </c>
    </row>
    <row r="28" spans="1:15" x14ac:dyDescent="0.3">
      <c r="A28" s="5" t="s">
        <v>68</v>
      </c>
      <c r="B28" s="6">
        <v>45714</v>
      </c>
      <c r="C28" s="7" t="str">
        <f>TEXT([1]!Table1[[#This Row],[Date]],"dddd")</f>
        <v>Sunday</v>
      </c>
      <c r="D28" s="7" t="s">
        <v>9</v>
      </c>
      <c r="E28" s="7">
        <v>2025</v>
      </c>
      <c r="F28" s="7" t="s">
        <v>19</v>
      </c>
      <c r="G28" s="7" t="s">
        <v>15</v>
      </c>
      <c r="H28" s="7" t="s">
        <v>29</v>
      </c>
      <c r="I28" s="7">
        <v>3</v>
      </c>
      <c r="J28" s="7">
        <v>100</v>
      </c>
      <c r="K28" s="7">
        <v>300</v>
      </c>
      <c r="L28" s="7" t="s">
        <v>47</v>
      </c>
      <c r="M28" s="7" t="s">
        <v>26</v>
      </c>
      <c r="N28" s="7" t="s">
        <v>7</v>
      </c>
      <c r="O28" s="8" t="str">
        <f>IF(ISNUMBER(SEARCH("cancel",[1]!Table1[[#This Row],[Status]])),"Cancelled",
IF(ISNUMBER(SEARCH("pend",[1]!Table1[[#This Row],[Status]])),"Pending","Completed"))</f>
        <v>Cancelled</v>
      </c>
    </row>
    <row r="29" spans="1:15" x14ac:dyDescent="0.3">
      <c r="A29" s="1" t="s">
        <v>69</v>
      </c>
      <c r="B29" s="2">
        <v>45712</v>
      </c>
      <c r="C29" s="3" t="str">
        <f>TEXT([1]!Table1[[#This Row],[Date]],"dddd")</f>
        <v>Wednesday</v>
      </c>
      <c r="D29" s="3" t="s">
        <v>9</v>
      </c>
      <c r="E29" s="3">
        <v>2025</v>
      </c>
      <c r="F29" s="3" t="s">
        <v>45</v>
      </c>
      <c r="G29" s="3" t="s">
        <v>15</v>
      </c>
      <c r="H29" s="3" t="s">
        <v>16</v>
      </c>
      <c r="I29" s="3">
        <v>3</v>
      </c>
      <c r="J29" s="3">
        <v>500</v>
      </c>
      <c r="K29" s="3">
        <v>1500</v>
      </c>
      <c r="L29" s="3" t="s">
        <v>70</v>
      </c>
      <c r="M29" s="3" t="s">
        <v>36</v>
      </c>
      <c r="N29" s="3" t="s">
        <v>7</v>
      </c>
      <c r="O29" s="4" t="str">
        <f>IF(ISNUMBER(SEARCH("cancel",[1]!Table1[[#This Row],[Status]])),"Cancelled",
IF(ISNUMBER(SEARCH("pend",[1]!Table1[[#This Row],[Status]])),"Pending","Completed"))</f>
        <v>Cancelled</v>
      </c>
    </row>
    <row r="30" spans="1:15" x14ac:dyDescent="0.3">
      <c r="A30" s="5" t="s">
        <v>71</v>
      </c>
      <c r="B30" s="6">
        <v>45716</v>
      </c>
      <c r="C30" s="7" t="str">
        <f>TEXT([1]!Table1[[#This Row],[Date]],"dddd")</f>
        <v>Monday</v>
      </c>
      <c r="D30" s="7" t="s">
        <v>9</v>
      </c>
      <c r="E30" s="7">
        <v>2025</v>
      </c>
      <c r="F30" s="7" t="s">
        <v>2</v>
      </c>
      <c r="G30" s="7" t="s">
        <v>20</v>
      </c>
      <c r="H30" s="7" t="s">
        <v>21</v>
      </c>
      <c r="I30" s="7">
        <v>4</v>
      </c>
      <c r="J30" s="7">
        <v>600</v>
      </c>
      <c r="K30" s="7">
        <v>2400</v>
      </c>
      <c r="L30" s="7" t="s">
        <v>50</v>
      </c>
      <c r="M30" s="7" t="s">
        <v>41</v>
      </c>
      <c r="N30" s="7" t="s">
        <v>7</v>
      </c>
      <c r="O30" s="8" t="str">
        <f>IF(ISNUMBER(SEARCH("cancel",[1]!Table1[[#This Row],[Status]])),"Cancelled",
IF(ISNUMBER(SEARCH("pend",[1]!Table1[[#This Row],[Status]])),"Pending","Completed"))</f>
        <v>Cancelled</v>
      </c>
    </row>
    <row r="31" spans="1:15" x14ac:dyDescent="0.3">
      <c r="A31" s="1" t="s">
        <v>72</v>
      </c>
      <c r="B31" s="2">
        <v>45713</v>
      </c>
      <c r="C31" s="3" t="str">
        <f>TEXT([1]!Table1[[#This Row],[Date]],"dddd")</f>
        <v>Friday</v>
      </c>
      <c r="D31" s="3" t="s">
        <v>9</v>
      </c>
      <c r="E31" s="3">
        <v>2025</v>
      </c>
      <c r="F31" s="3" t="s">
        <v>45</v>
      </c>
      <c r="G31" s="3" t="s">
        <v>15</v>
      </c>
      <c r="H31" s="3" t="s">
        <v>61</v>
      </c>
      <c r="I31" s="3">
        <v>5</v>
      </c>
      <c r="J31" s="3">
        <v>150</v>
      </c>
      <c r="K31" s="3">
        <v>750</v>
      </c>
      <c r="L31" s="3" t="s">
        <v>31</v>
      </c>
      <c r="M31" s="3" t="s">
        <v>12</v>
      </c>
      <c r="N31" s="3" t="s">
        <v>7</v>
      </c>
      <c r="O31" s="4" t="str">
        <f>IF(ISNUMBER(SEARCH("cancel",[1]!Table1[[#This Row],[Status]])),"Cancelled",
IF(ISNUMBER(SEARCH("pend",[1]!Table1[[#This Row],[Status]])),"Pending","Completed"))</f>
        <v>Cancelled</v>
      </c>
    </row>
    <row r="32" spans="1:15" x14ac:dyDescent="0.3">
      <c r="A32" s="5" t="s">
        <v>73</v>
      </c>
      <c r="B32" s="6">
        <v>45742</v>
      </c>
      <c r="C32" s="7" t="str">
        <f>TEXT([1]!Table1[[#This Row],[Date]],"dddd")</f>
        <v>Tuesday</v>
      </c>
      <c r="D32" s="7" t="s">
        <v>1</v>
      </c>
      <c r="E32" s="7">
        <v>2025</v>
      </c>
      <c r="F32" s="7" t="s">
        <v>2</v>
      </c>
      <c r="G32" s="7" t="s">
        <v>3</v>
      </c>
      <c r="H32" s="7" t="s">
        <v>4</v>
      </c>
      <c r="I32" s="7">
        <v>5</v>
      </c>
      <c r="J32" s="7">
        <v>60</v>
      </c>
      <c r="K32" s="7">
        <v>300</v>
      </c>
      <c r="L32" s="7" t="s">
        <v>56</v>
      </c>
      <c r="M32" s="7" t="s">
        <v>41</v>
      </c>
      <c r="N32" s="7" t="s">
        <v>7</v>
      </c>
      <c r="O32" s="8" t="str">
        <f>IF(ISNUMBER(SEARCH("cancel",[1]!Table1[[#This Row],[Status]])),"Cancelled",
IF(ISNUMBER(SEARCH("pend",[1]!Table1[[#This Row],[Status]])),"Pending","Completed"))</f>
        <v>Cancelled</v>
      </c>
    </row>
    <row r="33" spans="1:15" x14ac:dyDescent="0.3">
      <c r="A33" s="1" t="s">
        <v>74</v>
      </c>
      <c r="B33" s="2">
        <v>45731</v>
      </c>
      <c r="C33" s="3" t="str">
        <f>TEXT([1]!Table1[[#This Row],[Date]],"dddd")</f>
        <v>Wednesday</v>
      </c>
      <c r="D33" s="3" t="s">
        <v>1</v>
      </c>
      <c r="E33" s="3">
        <v>2025</v>
      </c>
      <c r="F33" s="3" t="s">
        <v>33</v>
      </c>
      <c r="G33" s="3" t="s">
        <v>15</v>
      </c>
      <c r="H33" s="3" t="s">
        <v>16</v>
      </c>
      <c r="I33" s="3">
        <v>2</v>
      </c>
      <c r="J33" s="3">
        <v>500</v>
      </c>
      <c r="K33" s="3">
        <v>1000</v>
      </c>
      <c r="L33" s="3" t="s">
        <v>25</v>
      </c>
      <c r="M33" s="3" t="s">
        <v>41</v>
      </c>
      <c r="N33" s="3" t="s">
        <v>7</v>
      </c>
      <c r="O33" s="4" t="str">
        <f>IF(ISNUMBER(SEARCH("cancel",[1]!Table1[[#This Row],[Status]])),"Cancelled",
IF(ISNUMBER(SEARCH("pend",[1]!Table1[[#This Row],[Status]])),"Pending","Completed"))</f>
        <v>Cancelled</v>
      </c>
    </row>
    <row r="34" spans="1:15" x14ac:dyDescent="0.3">
      <c r="A34" s="5" t="s">
        <v>75</v>
      </c>
      <c r="B34" s="6">
        <v>45722</v>
      </c>
      <c r="C34" s="7" t="str">
        <f>TEXT([1]!Table1[[#This Row],[Date]],"dddd")</f>
        <v>Saturday</v>
      </c>
      <c r="D34" s="7" t="s">
        <v>1</v>
      </c>
      <c r="E34" s="7">
        <v>2025</v>
      </c>
      <c r="F34" s="7" t="s">
        <v>49</v>
      </c>
      <c r="G34" s="7" t="s">
        <v>20</v>
      </c>
      <c r="H34" s="7" t="s">
        <v>24</v>
      </c>
      <c r="I34" s="7">
        <v>5</v>
      </c>
      <c r="J34" s="7">
        <v>1200</v>
      </c>
      <c r="K34" s="7">
        <v>6000</v>
      </c>
      <c r="L34" s="7" t="s">
        <v>11</v>
      </c>
      <c r="M34" s="7" t="s">
        <v>12</v>
      </c>
      <c r="N34" s="7" t="s">
        <v>7</v>
      </c>
      <c r="O34" s="8" t="str">
        <f>IF(ISNUMBER(SEARCH("cancel",[1]!Table1[[#This Row],[Status]])),"Cancelled",
IF(ISNUMBER(SEARCH("pend",[1]!Table1[[#This Row],[Status]])),"Pending","Completed"))</f>
        <v>Cancelled</v>
      </c>
    </row>
    <row r="35" spans="1:15" x14ac:dyDescent="0.3">
      <c r="A35" s="1" t="s">
        <v>76</v>
      </c>
      <c r="B35" s="2">
        <v>45741</v>
      </c>
      <c r="C35" s="3" t="str">
        <f>TEXT([1]!Table1[[#This Row],[Date]],"dddd")</f>
        <v>Thursday</v>
      </c>
      <c r="D35" s="3" t="s">
        <v>1</v>
      </c>
      <c r="E35" s="3">
        <v>2025</v>
      </c>
      <c r="F35" s="3" t="s">
        <v>60</v>
      </c>
      <c r="G35" s="3" t="s">
        <v>52</v>
      </c>
      <c r="H35" s="3" t="s">
        <v>77</v>
      </c>
      <c r="I35" s="3">
        <v>5</v>
      </c>
      <c r="J35" s="3">
        <v>40</v>
      </c>
      <c r="K35" s="3">
        <v>200</v>
      </c>
      <c r="L35" s="3" t="s">
        <v>70</v>
      </c>
      <c r="M35" s="3" t="s">
        <v>26</v>
      </c>
      <c r="N35" s="3" t="s">
        <v>7</v>
      </c>
      <c r="O35" s="4" t="str">
        <f>IF(ISNUMBER(SEARCH("cancel",[1]!Table1[[#This Row],[Status]])),"Cancelled",
IF(ISNUMBER(SEARCH("pend",[1]!Table1[[#This Row],[Status]])),"Pending","Completed"))</f>
        <v>Cancelled</v>
      </c>
    </row>
    <row r="36" spans="1:15" x14ac:dyDescent="0.3">
      <c r="A36" s="5" t="s">
        <v>78</v>
      </c>
      <c r="B36" s="6">
        <v>45705</v>
      </c>
      <c r="C36" s="7" t="str">
        <f>TEXT([1]!Table1[[#This Row],[Date]],"dddd")</f>
        <v>Tuesday</v>
      </c>
      <c r="D36" s="7" t="s">
        <v>9</v>
      </c>
      <c r="E36" s="7">
        <v>2025</v>
      </c>
      <c r="F36" s="7" t="s">
        <v>28</v>
      </c>
      <c r="G36" s="7" t="s">
        <v>15</v>
      </c>
      <c r="H36" s="7" t="s">
        <v>61</v>
      </c>
      <c r="I36" s="7">
        <v>4</v>
      </c>
      <c r="J36" s="7">
        <v>150</v>
      </c>
      <c r="K36" s="7">
        <v>600</v>
      </c>
      <c r="L36" s="7" t="s">
        <v>5</v>
      </c>
      <c r="M36" s="7" t="s">
        <v>36</v>
      </c>
      <c r="N36" s="7" t="s">
        <v>7</v>
      </c>
      <c r="O36" s="8" t="str">
        <f>IF(ISNUMBER(SEARCH("cancel",[1]!Table1[[#This Row],[Status]])),"Cancelled",
IF(ISNUMBER(SEARCH("pend",[1]!Table1[[#This Row],[Status]])),"Pending","Completed"))</f>
        <v>Cancelled</v>
      </c>
    </row>
    <row r="37" spans="1:15" x14ac:dyDescent="0.3">
      <c r="A37" s="1" t="s">
        <v>79</v>
      </c>
      <c r="B37" s="2">
        <v>45701</v>
      </c>
      <c r="C37" s="3" t="str">
        <f>TEXT([1]!Table1[[#This Row],[Date]],"dddd")</f>
        <v>Monday</v>
      </c>
      <c r="D37" s="3" t="s">
        <v>9</v>
      </c>
      <c r="E37" s="3">
        <v>2025</v>
      </c>
      <c r="F37" s="3" t="s">
        <v>45</v>
      </c>
      <c r="G37" s="3" t="s">
        <v>3</v>
      </c>
      <c r="H37" s="3" t="s">
        <v>4</v>
      </c>
      <c r="I37" s="3">
        <v>1</v>
      </c>
      <c r="J37" s="3">
        <v>60</v>
      </c>
      <c r="K37" s="3">
        <v>60</v>
      </c>
      <c r="L37" s="3" t="s">
        <v>50</v>
      </c>
      <c r="M37" s="3" t="s">
        <v>12</v>
      </c>
      <c r="N37" s="3" t="s">
        <v>7</v>
      </c>
      <c r="O37" s="4" t="str">
        <f>IF(ISNUMBER(SEARCH("cancel",[1]!Table1[[#This Row],[Status]])),"Cancelled",
IF(ISNUMBER(SEARCH("pend",[1]!Table1[[#This Row],[Status]])),"Pending","Completed"))</f>
        <v>Cancelled</v>
      </c>
    </row>
    <row r="38" spans="1:15" x14ac:dyDescent="0.3">
      <c r="A38" s="5" t="s">
        <v>80</v>
      </c>
      <c r="B38" s="6">
        <v>45735</v>
      </c>
      <c r="C38" s="7" t="str">
        <f>TEXT([1]!Table1[[#This Row],[Date]],"dddd")</f>
        <v>Thursday</v>
      </c>
      <c r="D38" s="7" t="s">
        <v>1</v>
      </c>
      <c r="E38" s="7">
        <v>2025</v>
      </c>
      <c r="F38" s="7" t="s">
        <v>33</v>
      </c>
      <c r="G38" s="7" t="s">
        <v>52</v>
      </c>
      <c r="H38" s="7" t="s">
        <v>77</v>
      </c>
      <c r="I38" s="7">
        <v>3</v>
      </c>
      <c r="J38" s="7">
        <v>40</v>
      </c>
      <c r="K38" s="7">
        <v>120</v>
      </c>
      <c r="L38" s="7" t="s">
        <v>31</v>
      </c>
      <c r="M38" s="7" t="s">
        <v>36</v>
      </c>
      <c r="N38" s="7" t="s">
        <v>7</v>
      </c>
      <c r="O38" s="8" t="str">
        <f>IF(ISNUMBER(SEARCH("cancel",[1]!Table1[[#This Row],[Status]])),"Cancelled",
IF(ISNUMBER(SEARCH("pend",[1]!Table1[[#This Row],[Status]])),"Pending","Completed"))</f>
        <v>Cancelled</v>
      </c>
    </row>
    <row r="39" spans="1:15" x14ac:dyDescent="0.3">
      <c r="A39" s="1" t="s">
        <v>81</v>
      </c>
      <c r="B39" s="2">
        <v>45722</v>
      </c>
      <c r="C39" s="3" t="str">
        <f>TEXT([1]!Table1[[#This Row],[Date]],"dddd")</f>
        <v>Wednesday</v>
      </c>
      <c r="D39" s="3" t="s">
        <v>1</v>
      </c>
      <c r="E39" s="3">
        <v>2025</v>
      </c>
      <c r="F39" s="3" t="s">
        <v>49</v>
      </c>
      <c r="G39" s="3" t="s">
        <v>20</v>
      </c>
      <c r="H39" s="3" t="s">
        <v>21</v>
      </c>
      <c r="I39" s="3">
        <v>2</v>
      </c>
      <c r="J39" s="3">
        <v>600</v>
      </c>
      <c r="K39" s="3">
        <v>1200</v>
      </c>
      <c r="L39" s="3" t="s">
        <v>31</v>
      </c>
      <c r="M39" s="3" t="s">
        <v>12</v>
      </c>
      <c r="N39" s="3" t="s">
        <v>7</v>
      </c>
      <c r="O39" s="4" t="str">
        <f>IF(ISNUMBER(SEARCH("cancel",[1]!Table1[[#This Row],[Status]])),"Cancelled",
IF(ISNUMBER(SEARCH("pend",[1]!Table1[[#This Row],[Status]])),"Pending","Completed"))</f>
        <v>Cancelled</v>
      </c>
    </row>
    <row r="40" spans="1:15" x14ac:dyDescent="0.3">
      <c r="A40" s="5" t="s">
        <v>82</v>
      </c>
      <c r="B40" s="6">
        <v>45744</v>
      </c>
      <c r="C40" s="7" t="str">
        <f>TEXT([1]!Table1[[#This Row],[Date]],"dddd")</f>
        <v>Thursday</v>
      </c>
      <c r="D40" s="7" t="s">
        <v>1</v>
      </c>
      <c r="E40" s="7">
        <v>2025</v>
      </c>
      <c r="F40" s="7" t="s">
        <v>10</v>
      </c>
      <c r="G40" s="7" t="s">
        <v>15</v>
      </c>
      <c r="H40" s="7" t="s">
        <v>83</v>
      </c>
      <c r="I40" s="7">
        <v>3</v>
      </c>
      <c r="J40" s="7">
        <v>800</v>
      </c>
      <c r="K40" s="7">
        <v>2400</v>
      </c>
      <c r="L40" s="7" t="s">
        <v>22</v>
      </c>
      <c r="M40" s="7" t="s">
        <v>36</v>
      </c>
      <c r="N40" s="7" t="s">
        <v>7</v>
      </c>
      <c r="O40" s="8" t="str">
        <f>IF(ISNUMBER(SEARCH("cancel",[1]!Table1[[#This Row],[Status]])),"Cancelled",
IF(ISNUMBER(SEARCH("pend",[1]!Table1[[#This Row],[Status]])),"Pending","Completed"))</f>
        <v>Cancelled</v>
      </c>
    </row>
    <row r="41" spans="1:15" x14ac:dyDescent="0.3">
      <c r="A41" s="1" t="s">
        <v>84</v>
      </c>
      <c r="B41" s="2">
        <v>45711</v>
      </c>
      <c r="C41" s="3" t="str">
        <f>TEXT([1]!Table1[[#This Row],[Date]],"dddd")</f>
        <v>Friday</v>
      </c>
      <c r="D41" s="3" t="s">
        <v>9</v>
      </c>
      <c r="E41" s="3">
        <v>2025</v>
      </c>
      <c r="F41" s="3" t="s">
        <v>28</v>
      </c>
      <c r="G41" s="3" t="s">
        <v>39</v>
      </c>
      <c r="H41" s="3" t="s">
        <v>40</v>
      </c>
      <c r="I41" s="3">
        <v>3</v>
      </c>
      <c r="J41" s="3">
        <v>15</v>
      </c>
      <c r="K41" s="3">
        <v>45</v>
      </c>
      <c r="L41" s="3" t="s">
        <v>25</v>
      </c>
      <c r="M41" s="3" t="s">
        <v>41</v>
      </c>
      <c r="N41" s="3" t="s">
        <v>7</v>
      </c>
      <c r="O41" s="4" t="str">
        <f>IF(ISNUMBER(SEARCH("cancel",[1]!Table1[[#This Row],[Status]])),"Cancelled",
IF(ISNUMBER(SEARCH("pend",[1]!Table1[[#This Row],[Status]])),"Pending","Completed"))</f>
        <v>Cancelled</v>
      </c>
    </row>
    <row r="42" spans="1:15" x14ac:dyDescent="0.3">
      <c r="A42" s="5" t="s">
        <v>85</v>
      </c>
      <c r="B42" s="6">
        <v>45739</v>
      </c>
      <c r="C42" s="7" t="str">
        <f>TEXT([1]!Table1[[#This Row],[Date]],"dddd")</f>
        <v>Sunday</v>
      </c>
      <c r="D42" s="7" t="s">
        <v>1</v>
      </c>
      <c r="E42" s="7">
        <v>2025</v>
      </c>
      <c r="F42" s="7" t="s">
        <v>14</v>
      </c>
      <c r="G42" s="7" t="s">
        <v>15</v>
      </c>
      <c r="H42" s="7" t="s">
        <v>61</v>
      </c>
      <c r="I42" s="7">
        <v>2</v>
      </c>
      <c r="J42" s="7">
        <v>150</v>
      </c>
      <c r="K42" s="7">
        <v>300</v>
      </c>
      <c r="L42" s="7" t="s">
        <v>31</v>
      </c>
      <c r="M42" s="7" t="s">
        <v>41</v>
      </c>
      <c r="N42" s="7" t="s">
        <v>7</v>
      </c>
      <c r="O42" s="8" t="str">
        <f>IF(ISNUMBER(SEARCH("cancel",[1]!Table1[[#This Row],[Status]])),"Cancelled",
IF(ISNUMBER(SEARCH("pend",[1]!Table1[[#This Row],[Status]])),"Pending","Completed"))</f>
        <v>Cancelled</v>
      </c>
    </row>
    <row r="43" spans="1:15" x14ac:dyDescent="0.3">
      <c r="A43" s="1" t="s">
        <v>86</v>
      </c>
      <c r="B43" s="2">
        <v>45699</v>
      </c>
      <c r="C43" s="3" t="str">
        <f>TEXT([1]!Table1[[#This Row],[Date]],"dddd")</f>
        <v>Sunday</v>
      </c>
      <c r="D43" s="3" t="s">
        <v>9</v>
      </c>
      <c r="E43" s="3">
        <v>2025</v>
      </c>
      <c r="F43" s="3" t="s">
        <v>60</v>
      </c>
      <c r="G43" s="3" t="s">
        <v>20</v>
      </c>
      <c r="H43" s="3" t="s">
        <v>24</v>
      </c>
      <c r="I43" s="3">
        <v>2</v>
      </c>
      <c r="J43" s="3">
        <v>1200</v>
      </c>
      <c r="K43" s="3">
        <v>2400</v>
      </c>
      <c r="L43" s="3" t="s">
        <v>17</v>
      </c>
      <c r="M43" s="3" t="s">
        <v>12</v>
      </c>
      <c r="N43" s="3" t="s">
        <v>7</v>
      </c>
      <c r="O43" s="4" t="str">
        <f>IF(ISNUMBER(SEARCH("cancel",[1]!Table1[[#This Row],[Status]])),"Cancelled",
IF(ISNUMBER(SEARCH("pend",[1]!Table1[[#This Row],[Status]])),"Pending","Completed"))</f>
        <v>Cancelled</v>
      </c>
    </row>
    <row r="44" spans="1:15" x14ac:dyDescent="0.3">
      <c r="A44" s="5" t="s">
        <v>87</v>
      </c>
      <c r="B44" s="6">
        <v>45699</v>
      </c>
      <c r="C44" s="7" t="str">
        <f>TEXT([1]!Table1[[#This Row],[Date]],"dddd")</f>
        <v>Tuesday</v>
      </c>
      <c r="D44" s="7" t="s">
        <v>9</v>
      </c>
      <c r="E44" s="7">
        <v>2025</v>
      </c>
      <c r="F44" s="7" t="s">
        <v>10</v>
      </c>
      <c r="G44" s="7" t="s">
        <v>15</v>
      </c>
      <c r="H44" s="7" t="s">
        <v>61</v>
      </c>
      <c r="I44" s="7">
        <v>5</v>
      </c>
      <c r="J44" s="7">
        <v>150</v>
      </c>
      <c r="K44" s="7">
        <v>750</v>
      </c>
      <c r="L44" s="7" t="s">
        <v>56</v>
      </c>
      <c r="M44" s="7" t="s">
        <v>41</v>
      </c>
      <c r="N44" s="7" t="s">
        <v>7</v>
      </c>
      <c r="O44" s="8" t="str">
        <f>IF(ISNUMBER(SEARCH("cancel",[1]!Table1[[#This Row],[Status]])),"Cancelled",
IF(ISNUMBER(SEARCH("pend",[1]!Table1[[#This Row],[Status]])),"Pending","Completed"))</f>
        <v>Cancelled</v>
      </c>
    </row>
    <row r="45" spans="1:15" x14ac:dyDescent="0.3">
      <c r="A45" s="1" t="s">
        <v>88</v>
      </c>
      <c r="B45" s="2">
        <v>45734</v>
      </c>
      <c r="C45" s="3" t="str">
        <f>TEXT([1]!Table1[[#This Row],[Date]],"dddd")</f>
        <v>Tuesday</v>
      </c>
      <c r="D45" s="3" t="s">
        <v>1</v>
      </c>
      <c r="E45" s="3">
        <v>2025</v>
      </c>
      <c r="F45" s="3" t="s">
        <v>19</v>
      </c>
      <c r="G45" s="3" t="s">
        <v>15</v>
      </c>
      <c r="H45" s="3" t="s">
        <v>83</v>
      </c>
      <c r="I45" s="3">
        <v>2</v>
      </c>
      <c r="J45" s="3">
        <v>800</v>
      </c>
      <c r="K45" s="3">
        <v>1600</v>
      </c>
      <c r="L45" s="3" t="s">
        <v>11</v>
      </c>
      <c r="M45" s="3" t="s">
        <v>41</v>
      </c>
      <c r="N45" s="3" t="s">
        <v>7</v>
      </c>
      <c r="O45" s="4" t="str">
        <f>IF(ISNUMBER(SEARCH("cancel",[1]!Table1[[#This Row],[Status]])),"Cancelled",
IF(ISNUMBER(SEARCH("pend",[1]!Table1[[#This Row],[Status]])),"Pending","Completed"))</f>
        <v>Cancelled</v>
      </c>
    </row>
    <row r="46" spans="1:15" x14ac:dyDescent="0.3">
      <c r="A46" s="5" t="s">
        <v>89</v>
      </c>
      <c r="B46" s="6">
        <v>45747</v>
      </c>
      <c r="C46" s="7" t="str">
        <f>TEXT([1]!Table1[[#This Row],[Date]],"dddd")</f>
        <v>Tuesday</v>
      </c>
      <c r="D46" s="7" t="s">
        <v>1</v>
      </c>
      <c r="E46" s="7">
        <v>2025</v>
      </c>
      <c r="F46" s="7" t="s">
        <v>45</v>
      </c>
      <c r="G46" s="7" t="s">
        <v>20</v>
      </c>
      <c r="H46" s="7" t="s">
        <v>24</v>
      </c>
      <c r="I46" s="7">
        <v>2</v>
      </c>
      <c r="J46" s="7">
        <v>1200</v>
      </c>
      <c r="K46" s="7">
        <v>2400</v>
      </c>
      <c r="L46" s="7" t="s">
        <v>31</v>
      </c>
      <c r="M46" s="7" t="s">
        <v>36</v>
      </c>
      <c r="N46" s="7" t="s">
        <v>7</v>
      </c>
      <c r="O46" s="8" t="str">
        <f>IF(ISNUMBER(SEARCH("cancel",[1]!Table1[[#This Row],[Status]])),"Cancelled",
IF(ISNUMBER(SEARCH("pend",[1]!Table1[[#This Row],[Status]])),"Pending","Completed"))</f>
        <v>Cancelled</v>
      </c>
    </row>
    <row r="47" spans="1:15" x14ac:dyDescent="0.3">
      <c r="A47" s="1" t="s">
        <v>90</v>
      </c>
      <c r="B47" s="2">
        <v>45715</v>
      </c>
      <c r="C47" s="3" t="str">
        <f>TEXT([1]!Table1[[#This Row],[Date]],"dddd")</f>
        <v>Monday</v>
      </c>
      <c r="D47" s="3" t="s">
        <v>9</v>
      </c>
      <c r="E47" s="3">
        <v>2025</v>
      </c>
      <c r="F47" s="3" t="s">
        <v>19</v>
      </c>
      <c r="G47" s="3" t="s">
        <v>52</v>
      </c>
      <c r="H47" s="3" t="s">
        <v>77</v>
      </c>
      <c r="I47" s="3">
        <v>2</v>
      </c>
      <c r="J47" s="3">
        <v>40</v>
      </c>
      <c r="K47" s="3">
        <v>80</v>
      </c>
      <c r="L47" s="3" t="s">
        <v>56</v>
      </c>
      <c r="M47" s="3" t="s">
        <v>26</v>
      </c>
      <c r="N47" s="3" t="s">
        <v>7</v>
      </c>
      <c r="O47" s="4" t="str">
        <f>IF(ISNUMBER(SEARCH("cancel",[1]!Table1[[#This Row],[Status]])),"Cancelled",
IF(ISNUMBER(SEARCH("pend",[1]!Table1[[#This Row],[Status]])),"Pending","Completed"))</f>
        <v>Cancelled</v>
      </c>
    </row>
    <row r="48" spans="1:15" x14ac:dyDescent="0.3">
      <c r="A48" s="5" t="s">
        <v>91</v>
      </c>
      <c r="B48" s="6">
        <v>45724</v>
      </c>
      <c r="C48" s="7" t="str">
        <f>TEXT([1]!Table1[[#This Row],[Date]],"dddd")</f>
        <v>Thursday</v>
      </c>
      <c r="D48" s="7" t="s">
        <v>1</v>
      </c>
      <c r="E48" s="7">
        <v>2025</v>
      </c>
      <c r="F48" s="7" t="s">
        <v>19</v>
      </c>
      <c r="G48" s="7" t="s">
        <v>15</v>
      </c>
      <c r="H48" s="7" t="s">
        <v>61</v>
      </c>
      <c r="I48" s="7">
        <v>2</v>
      </c>
      <c r="J48" s="7">
        <v>150</v>
      </c>
      <c r="K48" s="7">
        <v>300</v>
      </c>
      <c r="L48" s="7" t="s">
        <v>70</v>
      </c>
      <c r="M48" s="7" t="s">
        <v>6</v>
      </c>
      <c r="N48" s="7" t="s">
        <v>7</v>
      </c>
      <c r="O48" s="8" t="str">
        <f>IF(ISNUMBER(SEARCH("cancel",[1]!Table1[[#This Row],[Status]])),"Cancelled",
IF(ISNUMBER(SEARCH("pend",[1]!Table1[[#This Row],[Status]])),"Pending","Completed"))</f>
        <v>Cancelled</v>
      </c>
    </row>
    <row r="49" spans="1:15" x14ac:dyDescent="0.3">
      <c r="A49" s="1" t="s">
        <v>92</v>
      </c>
      <c r="B49" s="2">
        <v>45694</v>
      </c>
      <c r="C49" s="3" t="str">
        <f>TEXT([1]!Table1[[#This Row],[Date]],"dddd")</f>
        <v>Saturday</v>
      </c>
      <c r="D49" s="3" t="s">
        <v>9</v>
      </c>
      <c r="E49" s="3">
        <v>2025</v>
      </c>
      <c r="F49" s="3" t="s">
        <v>14</v>
      </c>
      <c r="G49" s="3" t="s">
        <v>15</v>
      </c>
      <c r="H49" s="3" t="s">
        <v>29</v>
      </c>
      <c r="I49" s="3">
        <v>4</v>
      </c>
      <c r="J49" s="3">
        <v>100</v>
      </c>
      <c r="K49" s="3">
        <v>400</v>
      </c>
      <c r="L49" s="3" t="s">
        <v>56</v>
      </c>
      <c r="M49" s="3" t="s">
        <v>36</v>
      </c>
      <c r="N49" s="3" t="s">
        <v>7</v>
      </c>
      <c r="O49" s="4" t="str">
        <f>IF(ISNUMBER(SEARCH("cancel",[1]!Table1[[#This Row],[Status]])),"Cancelled",
IF(ISNUMBER(SEARCH("pend",[1]!Table1[[#This Row],[Status]])),"Pending","Completed"))</f>
        <v>Cancelled</v>
      </c>
    </row>
    <row r="50" spans="1:15" x14ac:dyDescent="0.3">
      <c r="A50" s="5" t="s">
        <v>93</v>
      </c>
      <c r="B50" s="6">
        <v>45696</v>
      </c>
      <c r="C50" s="7" t="str">
        <f>TEXT([1]!Table1[[#This Row],[Date]],"dddd")</f>
        <v>Thursday</v>
      </c>
      <c r="D50" s="7" t="s">
        <v>9</v>
      </c>
      <c r="E50" s="7">
        <v>2025</v>
      </c>
      <c r="F50" s="7" t="s">
        <v>60</v>
      </c>
      <c r="G50" s="7" t="s">
        <v>39</v>
      </c>
      <c r="H50" s="7" t="s">
        <v>40</v>
      </c>
      <c r="I50" s="7">
        <v>4</v>
      </c>
      <c r="J50" s="7">
        <v>15</v>
      </c>
      <c r="K50" s="7">
        <v>60</v>
      </c>
      <c r="L50" s="7" t="s">
        <v>47</v>
      </c>
      <c r="M50" s="7" t="s">
        <v>41</v>
      </c>
      <c r="N50" s="7" t="s">
        <v>7</v>
      </c>
      <c r="O50" s="8" t="str">
        <f>IF(ISNUMBER(SEARCH("cancel",[1]!Table1[[#This Row],[Status]])),"Cancelled",
IF(ISNUMBER(SEARCH("pend",[1]!Table1[[#This Row],[Status]])),"Pending","Completed"))</f>
        <v>Cancelled</v>
      </c>
    </row>
    <row r="51" spans="1:15" x14ac:dyDescent="0.3">
      <c r="A51" s="1" t="s">
        <v>94</v>
      </c>
      <c r="B51" s="2">
        <v>45732</v>
      </c>
      <c r="C51" s="3" t="str">
        <f>TEXT([1]!Table1[[#This Row],[Date]],"dddd")</f>
        <v>Saturday</v>
      </c>
      <c r="D51" s="3" t="s">
        <v>1</v>
      </c>
      <c r="E51" s="3">
        <v>2025</v>
      </c>
      <c r="F51" s="3" t="s">
        <v>33</v>
      </c>
      <c r="G51" s="3" t="s">
        <v>15</v>
      </c>
      <c r="H51" s="3" t="s">
        <v>61</v>
      </c>
      <c r="I51" s="3">
        <v>4</v>
      </c>
      <c r="J51" s="3">
        <v>150</v>
      </c>
      <c r="K51" s="3">
        <v>600</v>
      </c>
      <c r="L51" s="3" t="s">
        <v>22</v>
      </c>
      <c r="M51" s="3" t="s">
        <v>36</v>
      </c>
      <c r="N51" s="3" t="s">
        <v>7</v>
      </c>
      <c r="O51" s="4" t="str">
        <f>IF(ISNUMBER(SEARCH("cancel",[1]!Table1[[#This Row],[Status]])),"Cancelled",
IF(ISNUMBER(SEARCH("pend",[1]!Table1[[#This Row],[Status]])),"Pending","Completed"))</f>
        <v>Cancelled</v>
      </c>
    </row>
    <row r="52" spans="1:15" x14ac:dyDescent="0.3">
      <c r="A52" s="5" t="s">
        <v>95</v>
      </c>
      <c r="B52" s="6">
        <v>45704</v>
      </c>
      <c r="C52" s="7" t="str">
        <f>TEXT([1]!Table1[[#This Row],[Date]],"dddd")</f>
        <v>Sunday</v>
      </c>
      <c r="D52" s="7" t="s">
        <v>9</v>
      </c>
      <c r="E52" s="7">
        <v>2025</v>
      </c>
      <c r="F52" s="7" t="s">
        <v>49</v>
      </c>
      <c r="G52" s="7" t="s">
        <v>52</v>
      </c>
      <c r="H52" s="7" t="s">
        <v>53</v>
      </c>
      <c r="I52" s="7">
        <v>2</v>
      </c>
      <c r="J52" s="7">
        <v>20</v>
      </c>
      <c r="K52" s="7">
        <v>40</v>
      </c>
      <c r="L52" s="7" t="s">
        <v>31</v>
      </c>
      <c r="M52" s="7" t="s">
        <v>36</v>
      </c>
      <c r="N52" s="7" t="s">
        <v>7</v>
      </c>
      <c r="O52" s="8" t="str">
        <f>IF(ISNUMBER(SEARCH("cancel",[1]!Table1[[#This Row],[Status]])),"Cancelled",
IF(ISNUMBER(SEARCH("pend",[1]!Table1[[#This Row],[Status]])),"Pending","Completed"))</f>
        <v>Cancelled</v>
      </c>
    </row>
    <row r="53" spans="1:15" x14ac:dyDescent="0.3">
      <c r="A53" s="1" t="s">
        <v>96</v>
      </c>
      <c r="B53" s="2">
        <v>45694</v>
      </c>
      <c r="C53" s="3" t="str">
        <f>TEXT([1]!Table1[[#This Row],[Date]],"dddd")</f>
        <v>Sunday</v>
      </c>
      <c r="D53" s="3" t="s">
        <v>9</v>
      </c>
      <c r="E53" s="3">
        <v>2025</v>
      </c>
      <c r="F53" s="3" t="s">
        <v>33</v>
      </c>
      <c r="G53" s="3" t="s">
        <v>20</v>
      </c>
      <c r="H53" s="3" t="s">
        <v>21</v>
      </c>
      <c r="I53" s="3">
        <v>3</v>
      </c>
      <c r="J53" s="3">
        <v>600</v>
      </c>
      <c r="K53" s="3">
        <v>1800</v>
      </c>
      <c r="L53" s="3" t="s">
        <v>11</v>
      </c>
      <c r="M53" s="3" t="s">
        <v>26</v>
      </c>
      <c r="N53" s="3" t="s">
        <v>7</v>
      </c>
      <c r="O53" s="4" t="str">
        <f>IF(ISNUMBER(SEARCH("cancel",[1]!Table1[[#This Row],[Status]])),"Cancelled",
IF(ISNUMBER(SEARCH("pend",[1]!Table1[[#This Row],[Status]])),"Pending","Completed"))</f>
        <v>Cancelled</v>
      </c>
    </row>
    <row r="54" spans="1:15" x14ac:dyDescent="0.3">
      <c r="A54" s="5" t="s">
        <v>97</v>
      </c>
      <c r="B54" s="6">
        <v>45728</v>
      </c>
      <c r="C54" s="7" t="str">
        <f>TEXT([1]!Table1[[#This Row],[Date]],"dddd")</f>
        <v>Thursday</v>
      </c>
      <c r="D54" s="7" t="s">
        <v>1</v>
      </c>
      <c r="E54" s="7">
        <v>2025</v>
      </c>
      <c r="F54" s="7" t="s">
        <v>49</v>
      </c>
      <c r="G54" s="7" t="s">
        <v>39</v>
      </c>
      <c r="H54" s="7" t="s">
        <v>40</v>
      </c>
      <c r="I54" s="7">
        <v>1</v>
      </c>
      <c r="J54" s="7">
        <v>15</v>
      </c>
      <c r="K54" s="7">
        <v>15</v>
      </c>
      <c r="L54" s="7" t="s">
        <v>22</v>
      </c>
      <c r="M54" s="7" t="s">
        <v>26</v>
      </c>
      <c r="N54" s="7" t="s">
        <v>7</v>
      </c>
      <c r="O54" s="8" t="str">
        <f>IF(ISNUMBER(SEARCH("cancel",[1]!Table1[[#This Row],[Status]])),"Cancelled",
IF(ISNUMBER(SEARCH("pend",[1]!Table1[[#This Row],[Status]])),"Pending","Completed"))</f>
        <v>Cancelled</v>
      </c>
    </row>
    <row r="55" spans="1:15" x14ac:dyDescent="0.3">
      <c r="A55" s="1" t="s">
        <v>98</v>
      </c>
      <c r="B55" s="2">
        <v>45740</v>
      </c>
      <c r="C55" s="3" t="str">
        <f>TEXT([1]!Table1[[#This Row],[Date]],"dddd")</f>
        <v>Wednesday</v>
      </c>
      <c r="D55" s="3" t="s">
        <v>1</v>
      </c>
      <c r="E55" s="3">
        <v>2025</v>
      </c>
      <c r="F55" s="3" t="s">
        <v>49</v>
      </c>
      <c r="G55" s="3" t="s">
        <v>52</v>
      </c>
      <c r="H55" s="3" t="s">
        <v>77</v>
      </c>
      <c r="I55" s="3">
        <v>5</v>
      </c>
      <c r="J55" s="3">
        <v>40</v>
      </c>
      <c r="K55" s="3">
        <v>200</v>
      </c>
      <c r="L55" s="3" t="s">
        <v>5</v>
      </c>
      <c r="M55" s="3" t="s">
        <v>41</v>
      </c>
      <c r="N55" s="3" t="s">
        <v>7</v>
      </c>
      <c r="O55" s="4" t="str">
        <f>IF(ISNUMBER(SEARCH("cancel",[1]!Table1[[#This Row],[Status]])),"Cancelled",
IF(ISNUMBER(SEARCH("pend",[1]!Table1[[#This Row],[Status]])),"Pending","Completed"))</f>
        <v>Cancelled</v>
      </c>
    </row>
    <row r="56" spans="1:15" x14ac:dyDescent="0.3">
      <c r="A56" s="5" t="s">
        <v>99</v>
      </c>
      <c r="B56" s="6">
        <v>45741</v>
      </c>
      <c r="C56" s="7" t="str">
        <f>TEXT([1]!Table1[[#This Row],[Date]],"dddd")</f>
        <v>Monday</v>
      </c>
      <c r="D56" s="7" t="s">
        <v>1</v>
      </c>
      <c r="E56" s="7">
        <v>2025</v>
      </c>
      <c r="F56" s="7" t="s">
        <v>33</v>
      </c>
      <c r="G56" s="7" t="s">
        <v>52</v>
      </c>
      <c r="H56" s="7" t="s">
        <v>77</v>
      </c>
      <c r="I56" s="7">
        <v>1</v>
      </c>
      <c r="J56" s="7">
        <v>40</v>
      </c>
      <c r="K56" s="7">
        <v>40</v>
      </c>
      <c r="L56" s="7" t="s">
        <v>70</v>
      </c>
      <c r="M56" s="7" t="s">
        <v>26</v>
      </c>
      <c r="N56" s="7" t="s">
        <v>7</v>
      </c>
      <c r="O56" s="8" t="str">
        <f>IF(ISNUMBER(SEARCH("cancel",[1]!Table1[[#This Row],[Status]])),"Cancelled",
IF(ISNUMBER(SEARCH("pend",[1]!Table1[[#This Row],[Status]])),"Pending","Completed"))</f>
        <v>Cancelled</v>
      </c>
    </row>
    <row r="57" spans="1:15" x14ac:dyDescent="0.3">
      <c r="A57" s="1" t="s">
        <v>100</v>
      </c>
      <c r="B57" s="2">
        <v>45719</v>
      </c>
      <c r="C57" s="3" t="str">
        <f>TEXT([1]!Table1[[#This Row],[Date]],"dddd")</f>
        <v>Tuesday</v>
      </c>
      <c r="D57" s="3" t="s">
        <v>1</v>
      </c>
      <c r="E57" s="3">
        <v>2025</v>
      </c>
      <c r="F57" s="3" t="s">
        <v>49</v>
      </c>
      <c r="G57" s="3" t="s">
        <v>3</v>
      </c>
      <c r="H57" s="3" t="s">
        <v>4</v>
      </c>
      <c r="I57" s="3">
        <v>2</v>
      </c>
      <c r="J57" s="3">
        <v>60</v>
      </c>
      <c r="K57" s="3">
        <v>120</v>
      </c>
      <c r="L57" s="3" t="s">
        <v>56</v>
      </c>
      <c r="M57" s="3" t="s">
        <v>26</v>
      </c>
      <c r="N57" s="3" t="s">
        <v>7</v>
      </c>
      <c r="O57" s="4" t="str">
        <f>IF(ISNUMBER(SEARCH("cancel",[1]!Table1[[#This Row],[Status]])),"Cancelled",
IF(ISNUMBER(SEARCH("pend",[1]!Table1[[#This Row],[Status]])),"Pending","Completed"))</f>
        <v>Cancelled</v>
      </c>
    </row>
    <row r="58" spans="1:15" x14ac:dyDescent="0.3">
      <c r="A58" s="5" t="s">
        <v>101</v>
      </c>
      <c r="B58" s="6">
        <v>45708</v>
      </c>
      <c r="C58" s="7" t="str">
        <f>TEXT([1]!Table1[[#This Row],[Date]],"dddd")</f>
        <v>Monday</v>
      </c>
      <c r="D58" s="7" t="s">
        <v>9</v>
      </c>
      <c r="E58" s="7">
        <v>2025</v>
      </c>
      <c r="F58" s="7" t="s">
        <v>10</v>
      </c>
      <c r="G58" s="7" t="s">
        <v>52</v>
      </c>
      <c r="H58" s="7" t="s">
        <v>77</v>
      </c>
      <c r="I58" s="7">
        <v>4</v>
      </c>
      <c r="J58" s="7">
        <v>40</v>
      </c>
      <c r="K58" s="7">
        <v>160</v>
      </c>
      <c r="L58" s="7" t="s">
        <v>17</v>
      </c>
      <c r="M58" s="7" t="s">
        <v>36</v>
      </c>
      <c r="N58" s="7" t="s">
        <v>7</v>
      </c>
      <c r="O58" s="8" t="str">
        <f>IF(ISNUMBER(SEARCH("cancel",[1]!Table1[[#This Row],[Status]])),"Cancelled",
IF(ISNUMBER(SEARCH("pend",[1]!Table1[[#This Row],[Status]])),"Pending","Completed"))</f>
        <v>Cancelled</v>
      </c>
    </row>
    <row r="59" spans="1:15" x14ac:dyDescent="0.3">
      <c r="A59" s="1" t="s">
        <v>102</v>
      </c>
      <c r="B59" s="2">
        <v>45726</v>
      </c>
      <c r="C59" s="3" t="str">
        <f>TEXT([1]!Table1[[#This Row],[Date]],"dddd")</f>
        <v>Thursday</v>
      </c>
      <c r="D59" s="3" t="s">
        <v>1</v>
      </c>
      <c r="E59" s="3">
        <v>2025</v>
      </c>
      <c r="F59" s="3" t="s">
        <v>33</v>
      </c>
      <c r="G59" s="3" t="s">
        <v>15</v>
      </c>
      <c r="H59" s="3" t="s">
        <v>16</v>
      </c>
      <c r="I59" s="3">
        <v>3</v>
      </c>
      <c r="J59" s="3">
        <v>500</v>
      </c>
      <c r="K59" s="3">
        <v>1500</v>
      </c>
      <c r="L59" s="3" t="s">
        <v>11</v>
      </c>
      <c r="M59" s="3" t="s">
        <v>12</v>
      </c>
      <c r="N59" s="3" t="s">
        <v>7</v>
      </c>
      <c r="O59" s="4" t="str">
        <f>IF(ISNUMBER(SEARCH("cancel",[1]!Table1[[#This Row],[Status]])),"Cancelled",
IF(ISNUMBER(SEARCH("pend",[1]!Table1[[#This Row],[Status]])),"Pending","Completed"))</f>
        <v>Cancelled</v>
      </c>
    </row>
    <row r="60" spans="1:15" x14ac:dyDescent="0.3">
      <c r="A60" s="5" t="s">
        <v>103</v>
      </c>
      <c r="B60" s="6">
        <v>45709</v>
      </c>
      <c r="C60" s="7" t="str">
        <f>TEXT([1]!Table1[[#This Row],[Date]],"dddd")</f>
        <v>Monday</v>
      </c>
      <c r="D60" s="7" t="s">
        <v>9</v>
      </c>
      <c r="E60" s="7">
        <v>2025</v>
      </c>
      <c r="F60" s="7" t="s">
        <v>60</v>
      </c>
      <c r="G60" s="7" t="s">
        <v>15</v>
      </c>
      <c r="H60" s="7" t="s">
        <v>16</v>
      </c>
      <c r="I60" s="7">
        <v>2</v>
      </c>
      <c r="J60" s="7">
        <v>500</v>
      </c>
      <c r="K60" s="7">
        <v>1000</v>
      </c>
      <c r="L60" s="7" t="s">
        <v>22</v>
      </c>
      <c r="M60" s="7" t="s">
        <v>6</v>
      </c>
      <c r="N60" s="7" t="s">
        <v>7</v>
      </c>
      <c r="O60" s="8" t="str">
        <f>IF(ISNUMBER(SEARCH("cancel",[1]!Table1[[#This Row],[Status]])),"Cancelled",
IF(ISNUMBER(SEARCH("pend",[1]!Table1[[#This Row],[Status]])),"Pending","Completed"))</f>
        <v>Cancelled</v>
      </c>
    </row>
    <row r="61" spans="1:15" x14ac:dyDescent="0.3">
      <c r="A61" s="1" t="s">
        <v>104</v>
      </c>
      <c r="B61" s="2">
        <v>45694</v>
      </c>
      <c r="C61" s="3" t="str">
        <f>TEXT([1]!Table1[[#This Row],[Date]],"dddd")</f>
        <v>Friday</v>
      </c>
      <c r="D61" s="3" t="s">
        <v>9</v>
      </c>
      <c r="E61" s="3">
        <v>2025</v>
      </c>
      <c r="F61" s="3" t="s">
        <v>45</v>
      </c>
      <c r="G61" s="3" t="s">
        <v>15</v>
      </c>
      <c r="H61" s="3" t="s">
        <v>83</v>
      </c>
      <c r="I61" s="3">
        <v>1</v>
      </c>
      <c r="J61" s="3">
        <v>800</v>
      </c>
      <c r="K61" s="3">
        <v>800</v>
      </c>
      <c r="L61" s="3" t="s">
        <v>56</v>
      </c>
      <c r="M61" s="3" t="s">
        <v>36</v>
      </c>
      <c r="N61" s="3" t="s">
        <v>7</v>
      </c>
      <c r="O61" s="4" t="str">
        <f>IF(ISNUMBER(SEARCH("cancel",[1]!Table1[[#This Row],[Status]])),"Cancelled",
IF(ISNUMBER(SEARCH("pend",[1]!Table1[[#This Row],[Status]])),"Pending","Completed"))</f>
        <v>Cancelled</v>
      </c>
    </row>
    <row r="62" spans="1:15" x14ac:dyDescent="0.3">
      <c r="A62" s="5" t="s">
        <v>105</v>
      </c>
      <c r="B62" s="6">
        <v>45703</v>
      </c>
      <c r="C62" s="7" t="str">
        <f>TEXT([1]!Table1[[#This Row],[Date]],"dddd")</f>
        <v>Thursday</v>
      </c>
      <c r="D62" s="7" t="s">
        <v>9</v>
      </c>
      <c r="E62" s="7">
        <v>2025</v>
      </c>
      <c r="F62" s="7" t="s">
        <v>60</v>
      </c>
      <c r="G62" s="7" t="s">
        <v>15</v>
      </c>
      <c r="H62" s="7" t="s">
        <v>29</v>
      </c>
      <c r="I62" s="7">
        <v>4</v>
      </c>
      <c r="J62" s="7">
        <v>100</v>
      </c>
      <c r="K62" s="7">
        <v>400</v>
      </c>
      <c r="L62" s="7" t="s">
        <v>5</v>
      </c>
      <c r="M62" s="7" t="s">
        <v>41</v>
      </c>
      <c r="N62" s="7" t="s">
        <v>7</v>
      </c>
      <c r="O62" s="8" t="str">
        <f>IF(ISNUMBER(SEARCH("cancel",[1]!Table1[[#This Row],[Status]])),"Cancelled",
IF(ISNUMBER(SEARCH("pend",[1]!Table1[[#This Row],[Status]])),"Pending","Completed"))</f>
        <v>Cancelled</v>
      </c>
    </row>
    <row r="63" spans="1:15" x14ac:dyDescent="0.3">
      <c r="A63" s="1" t="s">
        <v>106</v>
      </c>
      <c r="B63" s="2">
        <v>45705</v>
      </c>
      <c r="C63" s="3" t="str">
        <f>TEXT([1]!Table1[[#This Row],[Date]],"dddd")</f>
        <v>Saturday</v>
      </c>
      <c r="D63" s="3" t="s">
        <v>9</v>
      </c>
      <c r="E63" s="3">
        <v>2025</v>
      </c>
      <c r="F63" s="3" t="s">
        <v>49</v>
      </c>
      <c r="G63" s="3" t="s">
        <v>15</v>
      </c>
      <c r="H63" s="3" t="s">
        <v>29</v>
      </c>
      <c r="I63" s="3">
        <v>3</v>
      </c>
      <c r="J63" s="3">
        <v>100</v>
      </c>
      <c r="K63" s="3">
        <v>300</v>
      </c>
      <c r="L63" s="3" t="s">
        <v>50</v>
      </c>
      <c r="M63" s="3" t="s">
        <v>36</v>
      </c>
      <c r="N63" s="3" t="s">
        <v>7</v>
      </c>
      <c r="O63" s="4" t="str">
        <f>IF(ISNUMBER(SEARCH("cancel",[1]!Table1[[#This Row],[Status]])),"Cancelled",
IF(ISNUMBER(SEARCH("pend",[1]!Table1[[#This Row],[Status]])),"Pending","Completed"))</f>
        <v>Cancelled</v>
      </c>
    </row>
    <row r="64" spans="1:15" x14ac:dyDescent="0.3">
      <c r="A64" s="5" t="s">
        <v>107</v>
      </c>
      <c r="B64" s="6">
        <v>45716</v>
      </c>
      <c r="C64" s="7" t="str">
        <f>TEXT([1]!Table1[[#This Row],[Date]],"dddd")</f>
        <v>Monday</v>
      </c>
      <c r="D64" s="7" t="s">
        <v>9</v>
      </c>
      <c r="E64" s="7">
        <v>2025</v>
      </c>
      <c r="F64" s="7" t="s">
        <v>14</v>
      </c>
      <c r="G64" s="7" t="s">
        <v>20</v>
      </c>
      <c r="H64" s="7" t="s">
        <v>21</v>
      </c>
      <c r="I64" s="7">
        <v>2</v>
      </c>
      <c r="J64" s="7">
        <v>600</v>
      </c>
      <c r="K64" s="7">
        <v>1200</v>
      </c>
      <c r="L64" s="7" t="s">
        <v>47</v>
      </c>
      <c r="M64" s="7" t="s">
        <v>41</v>
      </c>
      <c r="N64" s="7" t="s">
        <v>7</v>
      </c>
      <c r="O64" s="8" t="str">
        <f>IF(ISNUMBER(SEARCH("cancel",[1]!Table1[[#This Row],[Status]])),"Cancelled",
IF(ISNUMBER(SEARCH("pend",[1]!Table1[[#This Row],[Status]])),"Pending","Completed"))</f>
        <v>Cancelled</v>
      </c>
    </row>
    <row r="65" spans="1:15" x14ac:dyDescent="0.3">
      <c r="A65" s="1" t="s">
        <v>108</v>
      </c>
      <c r="B65" s="2">
        <v>45704</v>
      </c>
      <c r="C65" s="3" t="str">
        <f>TEXT([1]!Table1[[#This Row],[Date]],"dddd")</f>
        <v>Friday</v>
      </c>
      <c r="D65" s="3" t="s">
        <v>9</v>
      </c>
      <c r="E65" s="3">
        <v>2025</v>
      </c>
      <c r="F65" s="3" t="s">
        <v>28</v>
      </c>
      <c r="G65" s="3" t="s">
        <v>20</v>
      </c>
      <c r="H65" s="3" t="s">
        <v>21</v>
      </c>
      <c r="I65" s="3">
        <v>2</v>
      </c>
      <c r="J65" s="3">
        <v>600</v>
      </c>
      <c r="K65" s="3">
        <v>1200</v>
      </c>
      <c r="L65" s="3" t="s">
        <v>70</v>
      </c>
      <c r="M65" s="3" t="s">
        <v>6</v>
      </c>
      <c r="N65" s="3" t="s">
        <v>7</v>
      </c>
      <c r="O65" s="4" t="str">
        <f>IF(ISNUMBER(SEARCH("cancel",[1]!Table1[[#This Row],[Status]])),"Cancelled",
IF(ISNUMBER(SEARCH("pend",[1]!Table1[[#This Row],[Status]])),"Pending","Completed"))</f>
        <v>Cancelled</v>
      </c>
    </row>
    <row r="66" spans="1:15" x14ac:dyDescent="0.3">
      <c r="A66" s="5" t="s">
        <v>109</v>
      </c>
      <c r="B66" s="6">
        <v>45740</v>
      </c>
      <c r="C66" s="7" t="str">
        <f>TEXT([1]!Table1[[#This Row],[Date]],"dddd")</f>
        <v>Sunday</v>
      </c>
      <c r="D66" s="7" t="s">
        <v>1</v>
      </c>
      <c r="E66" s="7">
        <v>2025</v>
      </c>
      <c r="F66" s="7" t="s">
        <v>49</v>
      </c>
      <c r="G66" s="7" t="s">
        <v>52</v>
      </c>
      <c r="H66" s="7" t="s">
        <v>77</v>
      </c>
      <c r="I66" s="7">
        <v>2</v>
      </c>
      <c r="J66" s="7">
        <v>40</v>
      </c>
      <c r="K66" s="7">
        <v>80</v>
      </c>
      <c r="L66" s="7" t="s">
        <v>11</v>
      </c>
      <c r="M66" s="7" t="s">
        <v>36</v>
      </c>
      <c r="N66" s="7" t="s">
        <v>7</v>
      </c>
      <c r="O66" s="8" t="str">
        <f>IF(ISNUMBER(SEARCH("cancel",[1]!Table1[[#This Row],[Status]])),"Cancelled",
IF(ISNUMBER(SEARCH("pend",[1]!Table1[[#This Row],[Status]])),"Pending","Completed"))</f>
        <v>Cancelled</v>
      </c>
    </row>
    <row r="67" spans="1:15" x14ac:dyDescent="0.3">
      <c r="A67" s="1" t="s">
        <v>110</v>
      </c>
      <c r="B67" s="2">
        <v>45727</v>
      </c>
      <c r="C67" s="3" t="str">
        <f>TEXT([1]!Table1[[#This Row],[Date]],"dddd")</f>
        <v>Monday</v>
      </c>
      <c r="D67" s="3" t="s">
        <v>1</v>
      </c>
      <c r="E67" s="3">
        <v>2025</v>
      </c>
      <c r="F67" s="3" t="s">
        <v>35</v>
      </c>
      <c r="G67" s="3" t="s">
        <v>52</v>
      </c>
      <c r="H67" s="3" t="s">
        <v>77</v>
      </c>
      <c r="I67" s="3">
        <v>1</v>
      </c>
      <c r="J67" s="3">
        <v>40</v>
      </c>
      <c r="K67" s="3">
        <v>40</v>
      </c>
      <c r="L67" s="3" t="s">
        <v>5</v>
      </c>
      <c r="M67" s="3" t="s">
        <v>6</v>
      </c>
      <c r="N67" s="3" t="s">
        <v>7</v>
      </c>
      <c r="O67" s="4" t="str">
        <f>IF(ISNUMBER(SEARCH("cancel",[1]!Table1[[#This Row],[Status]])),"Cancelled",
IF(ISNUMBER(SEARCH("pend",[1]!Table1[[#This Row],[Status]])),"Pending","Completed"))</f>
        <v>Cancelled</v>
      </c>
    </row>
    <row r="68" spans="1:15" x14ac:dyDescent="0.3">
      <c r="A68" s="5" t="s">
        <v>111</v>
      </c>
      <c r="B68" s="6">
        <v>45749</v>
      </c>
      <c r="C68" s="7" t="str">
        <f>TEXT([1]!Table1[[#This Row],[Date]],"dddd")</f>
        <v>Tuesday</v>
      </c>
      <c r="D68" s="7" t="s">
        <v>59</v>
      </c>
      <c r="E68" s="7">
        <v>2025</v>
      </c>
      <c r="F68" s="7" t="s">
        <v>2</v>
      </c>
      <c r="G68" s="7" t="s">
        <v>15</v>
      </c>
      <c r="H68" s="7" t="s">
        <v>29</v>
      </c>
      <c r="I68" s="7">
        <v>5</v>
      </c>
      <c r="J68" s="7">
        <v>100</v>
      </c>
      <c r="K68" s="7">
        <v>500</v>
      </c>
      <c r="L68" s="7" t="s">
        <v>22</v>
      </c>
      <c r="M68" s="7" t="s">
        <v>12</v>
      </c>
      <c r="N68" s="7" t="s">
        <v>7</v>
      </c>
      <c r="O68" s="8" t="str">
        <f>IF(ISNUMBER(SEARCH("cancel",[1]!Table1[[#This Row],[Status]])),"Cancelled",
IF(ISNUMBER(SEARCH("pend",[1]!Table1[[#This Row],[Status]])),"Pending","Completed"))</f>
        <v>Cancelled</v>
      </c>
    </row>
    <row r="69" spans="1:15" x14ac:dyDescent="0.3">
      <c r="A69" s="1" t="s">
        <v>112</v>
      </c>
      <c r="B69" s="2">
        <v>45704</v>
      </c>
      <c r="C69" s="3" t="str">
        <f>TEXT([1]!Table1[[#This Row],[Date]],"dddd")</f>
        <v>Wednesday</v>
      </c>
      <c r="D69" s="3" t="s">
        <v>9</v>
      </c>
      <c r="E69" s="3">
        <v>2025</v>
      </c>
      <c r="F69" s="3" t="s">
        <v>45</v>
      </c>
      <c r="G69" s="3" t="s">
        <v>15</v>
      </c>
      <c r="H69" s="3" t="s">
        <v>83</v>
      </c>
      <c r="I69" s="3">
        <v>5</v>
      </c>
      <c r="J69" s="3">
        <v>800</v>
      </c>
      <c r="K69" s="3">
        <v>4000</v>
      </c>
      <c r="L69" s="3" t="s">
        <v>25</v>
      </c>
      <c r="M69" s="3" t="s">
        <v>41</v>
      </c>
      <c r="N69" s="3" t="s">
        <v>7</v>
      </c>
      <c r="O69" s="4" t="str">
        <f>IF(ISNUMBER(SEARCH("cancel",[1]!Table1[[#This Row],[Status]])),"Cancelled",
IF(ISNUMBER(SEARCH("pend",[1]!Table1[[#This Row],[Status]])),"Pending","Completed"))</f>
        <v>Cancelled</v>
      </c>
    </row>
    <row r="70" spans="1:15" x14ac:dyDescent="0.3">
      <c r="A70" s="5" t="s">
        <v>113</v>
      </c>
      <c r="B70" s="6">
        <v>45708</v>
      </c>
      <c r="C70" s="7" t="str">
        <f>TEXT([1]!Table1[[#This Row],[Date]],"dddd")</f>
        <v>Sunday</v>
      </c>
      <c r="D70" s="7" t="s">
        <v>9</v>
      </c>
      <c r="E70" s="7">
        <v>2025</v>
      </c>
      <c r="F70" s="7" t="s">
        <v>49</v>
      </c>
      <c r="G70" s="7" t="s">
        <v>3</v>
      </c>
      <c r="H70" s="7" t="s">
        <v>4</v>
      </c>
      <c r="I70" s="7">
        <v>1</v>
      </c>
      <c r="J70" s="7">
        <v>60</v>
      </c>
      <c r="K70" s="7">
        <v>60</v>
      </c>
      <c r="L70" s="7" t="s">
        <v>25</v>
      </c>
      <c r="M70" s="7" t="s">
        <v>6</v>
      </c>
      <c r="N70" s="7" t="s">
        <v>7</v>
      </c>
      <c r="O70" s="8" t="str">
        <f>IF(ISNUMBER(SEARCH("cancel",[1]!Table1[[#This Row],[Status]])),"Cancelled",
IF(ISNUMBER(SEARCH("pend",[1]!Table1[[#This Row],[Status]])),"Pending","Completed"))</f>
        <v>Cancelled</v>
      </c>
    </row>
    <row r="71" spans="1:15" x14ac:dyDescent="0.3">
      <c r="A71" s="1" t="s">
        <v>114</v>
      </c>
      <c r="B71" s="2">
        <v>45724</v>
      </c>
      <c r="C71" s="3" t="str">
        <f>TEXT([1]!Table1[[#This Row],[Date]],"dddd")</f>
        <v>Thursday</v>
      </c>
      <c r="D71" s="3" t="s">
        <v>1</v>
      </c>
      <c r="E71" s="3">
        <v>2025</v>
      </c>
      <c r="F71" s="3" t="s">
        <v>45</v>
      </c>
      <c r="G71" s="3" t="s">
        <v>39</v>
      </c>
      <c r="H71" s="3" t="s">
        <v>40</v>
      </c>
      <c r="I71" s="3">
        <v>1</v>
      </c>
      <c r="J71" s="3">
        <v>15</v>
      </c>
      <c r="K71" s="3">
        <v>15</v>
      </c>
      <c r="L71" s="3" t="s">
        <v>22</v>
      </c>
      <c r="M71" s="3" t="s">
        <v>26</v>
      </c>
      <c r="N71" s="3" t="s">
        <v>7</v>
      </c>
      <c r="O71" s="4" t="str">
        <f>IF(ISNUMBER(SEARCH("cancel",[1]!Table1[[#This Row],[Status]])),"Cancelled",
IF(ISNUMBER(SEARCH("pend",[1]!Table1[[#This Row],[Status]])),"Pending","Completed"))</f>
        <v>Cancelled</v>
      </c>
    </row>
    <row r="72" spans="1:15" x14ac:dyDescent="0.3">
      <c r="A72" s="5" t="s">
        <v>115</v>
      </c>
      <c r="B72" s="6">
        <v>45699</v>
      </c>
      <c r="C72" s="7" t="str">
        <f>TEXT([1]!Table1[[#This Row],[Date]],"dddd")</f>
        <v>Saturday</v>
      </c>
      <c r="D72" s="7" t="s">
        <v>9</v>
      </c>
      <c r="E72" s="7">
        <v>2025</v>
      </c>
      <c r="F72" s="7" t="s">
        <v>19</v>
      </c>
      <c r="G72" s="7" t="s">
        <v>15</v>
      </c>
      <c r="H72" s="7" t="s">
        <v>29</v>
      </c>
      <c r="I72" s="7">
        <v>3</v>
      </c>
      <c r="J72" s="7">
        <v>100</v>
      </c>
      <c r="K72" s="7">
        <v>300</v>
      </c>
      <c r="L72" s="7" t="s">
        <v>50</v>
      </c>
      <c r="M72" s="7" t="s">
        <v>12</v>
      </c>
      <c r="N72" s="7" t="s">
        <v>7</v>
      </c>
      <c r="O72" s="8" t="str">
        <f>IF(ISNUMBER(SEARCH("cancel",[1]!Table1[[#This Row],[Status]])),"Cancelled",
IF(ISNUMBER(SEARCH("pend",[1]!Table1[[#This Row],[Status]])),"Pending","Completed"))</f>
        <v>Cancelled</v>
      </c>
    </row>
    <row r="73" spans="1:15" x14ac:dyDescent="0.3">
      <c r="A73" s="1" t="s">
        <v>116</v>
      </c>
      <c r="B73" s="2">
        <v>45692</v>
      </c>
      <c r="C73" s="3" t="str">
        <f>TEXT([1]!Table1[[#This Row],[Date]],"dddd")</f>
        <v>Tuesday</v>
      </c>
      <c r="D73" s="3" t="s">
        <v>9</v>
      </c>
      <c r="E73" s="3">
        <v>2025</v>
      </c>
      <c r="F73" s="3" t="s">
        <v>19</v>
      </c>
      <c r="G73" s="3" t="s">
        <v>15</v>
      </c>
      <c r="H73" s="3" t="s">
        <v>83</v>
      </c>
      <c r="I73" s="3">
        <v>1</v>
      </c>
      <c r="J73" s="3">
        <v>800</v>
      </c>
      <c r="K73" s="3">
        <v>800</v>
      </c>
      <c r="L73" s="3" t="s">
        <v>56</v>
      </c>
      <c r="M73" s="3" t="s">
        <v>26</v>
      </c>
      <c r="N73" s="3" t="s">
        <v>7</v>
      </c>
      <c r="O73" s="4" t="str">
        <f>IF(ISNUMBER(SEARCH("cancel",[1]!Table1[[#This Row],[Status]])),"Cancelled",
IF(ISNUMBER(SEARCH("pend",[1]!Table1[[#This Row],[Status]])),"Pending","Completed"))</f>
        <v>Cancelled</v>
      </c>
    </row>
    <row r="74" spans="1:15" x14ac:dyDescent="0.3">
      <c r="A74" s="5" t="s">
        <v>117</v>
      </c>
      <c r="B74" s="6">
        <v>45733</v>
      </c>
      <c r="C74" s="7" t="str">
        <f>TEXT([1]!Table1[[#This Row],[Date]],"dddd")</f>
        <v>Tuesday</v>
      </c>
      <c r="D74" s="7" t="s">
        <v>1</v>
      </c>
      <c r="E74" s="7">
        <v>2025</v>
      </c>
      <c r="F74" s="7" t="s">
        <v>60</v>
      </c>
      <c r="G74" s="7" t="s">
        <v>52</v>
      </c>
      <c r="H74" s="7" t="s">
        <v>53</v>
      </c>
      <c r="I74" s="7">
        <v>2</v>
      </c>
      <c r="J74" s="7">
        <v>20</v>
      </c>
      <c r="K74" s="7">
        <v>40</v>
      </c>
      <c r="L74" s="7" t="s">
        <v>22</v>
      </c>
      <c r="M74" s="7" t="s">
        <v>26</v>
      </c>
      <c r="N74" s="7" t="s">
        <v>7</v>
      </c>
      <c r="O74" s="8" t="str">
        <f>IF(ISNUMBER(SEARCH("cancel",[1]!Table1[[#This Row],[Status]])),"Cancelled",
IF(ISNUMBER(SEARCH("pend",[1]!Table1[[#This Row],[Status]])),"Pending","Completed"))</f>
        <v>Cancelled</v>
      </c>
    </row>
    <row r="75" spans="1:15" x14ac:dyDescent="0.3">
      <c r="A75" s="1" t="s">
        <v>118</v>
      </c>
      <c r="B75" s="2">
        <v>45746</v>
      </c>
      <c r="C75" s="3" t="str">
        <f>TEXT([1]!Table1[[#This Row],[Date]],"dddd")</f>
        <v>Monday</v>
      </c>
      <c r="D75" s="3" t="s">
        <v>1</v>
      </c>
      <c r="E75" s="3">
        <v>2025</v>
      </c>
      <c r="F75" s="3" t="s">
        <v>35</v>
      </c>
      <c r="G75" s="3" t="s">
        <v>52</v>
      </c>
      <c r="H75" s="3" t="s">
        <v>77</v>
      </c>
      <c r="I75" s="3">
        <v>1</v>
      </c>
      <c r="J75" s="3">
        <v>40</v>
      </c>
      <c r="K75" s="3">
        <v>40</v>
      </c>
      <c r="L75" s="3" t="s">
        <v>31</v>
      </c>
      <c r="M75" s="3" t="s">
        <v>26</v>
      </c>
      <c r="N75" s="3" t="s">
        <v>7</v>
      </c>
      <c r="O75" s="4" t="str">
        <f>IF(ISNUMBER(SEARCH("cancel",[1]!Table1[[#This Row],[Status]])),"Cancelled",
IF(ISNUMBER(SEARCH("pend",[1]!Table1[[#This Row],[Status]])),"Pending","Completed"))</f>
        <v>Cancelled</v>
      </c>
    </row>
    <row r="76" spans="1:15" x14ac:dyDescent="0.3">
      <c r="A76" s="5" t="s">
        <v>119</v>
      </c>
      <c r="B76" s="6">
        <v>45721</v>
      </c>
      <c r="C76" s="7" t="str">
        <f>TEXT([1]!Table1[[#This Row],[Date]],"dddd")</f>
        <v>Sunday</v>
      </c>
      <c r="D76" s="7" t="s">
        <v>1</v>
      </c>
      <c r="E76" s="7">
        <v>2025</v>
      </c>
      <c r="F76" s="7" t="s">
        <v>28</v>
      </c>
      <c r="G76" s="7" t="s">
        <v>52</v>
      </c>
      <c r="H76" s="7" t="s">
        <v>53</v>
      </c>
      <c r="I76" s="7">
        <v>2</v>
      </c>
      <c r="J76" s="7">
        <v>20</v>
      </c>
      <c r="K76" s="7">
        <v>40</v>
      </c>
      <c r="L76" s="7" t="s">
        <v>11</v>
      </c>
      <c r="M76" s="7" t="s">
        <v>26</v>
      </c>
      <c r="N76" s="7" t="s">
        <v>7</v>
      </c>
      <c r="O76" s="8" t="str">
        <f>IF(ISNUMBER(SEARCH("cancel",[1]!Table1[[#This Row],[Status]])),"Cancelled",
IF(ISNUMBER(SEARCH("pend",[1]!Table1[[#This Row],[Status]])),"Pending","Completed"))</f>
        <v>Cancelled</v>
      </c>
    </row>
    <row r="77" spans="1:15" x14ac:dyDescent="0.3">
      <c r="A77" s="1" t="s">
        <v>120</v>
      </c>
      <c r="B77" s="2">
        <v>45724</v>
      </c>
      <c r="C77" s="3" t="str">
        <f>TEXT([1]!Table1[[#This Row],[Date]],"dddd")</f>
        <v>Wednesday</v>
      </c>
      <c r="D77" s="3" t="s">
        <v>1</v>
      </c>
      <c r="E77" s="3">
        <v>2025</v>
      </c>
      <c r="F77" s="3" t="s">
        <v>14</v>
      </c>
      <c r="G77" s="3" t="s">
        <v>15</v>
      </c>
      <c r="H77" s="3" t="s">
        <v>61</v>
      </c>
      <c r="I77" s="3">
        <v>3</v>
      </c>
      <c r="J77" s="3">
        <v>150</v>
      </c>
      <c r="K77" s="3">
        <v>450</v>
      </c>
      <c r="L77" s="3" t="s">
        <v>5</v>
      </c>
      <c r="M77" s="3" t="s">
        <v>41</v>
      </c>
      <c r="N77" s="3" t="s">
        <v>7</v>
      </c>
      <c r="O77" s="4" t="str">
        <f>IF(ISNUMBER(SEARCH("cancel",[1]!Table1[[#This Row],[Status]])),"Cancelled",
IF(ISNUMBER(SEARCH("pend",[1]!Table1[[#This Row],[Status]])),"Pending","Completed"))</f>
        <v>Cancelled</v>
      </c>
    </row>
    <row r="78" spans="1:15" x14ac:dyDescent="0.3">
      <c r="A78" s="5" t="s">
        <v>121</v>
      </c>
      <c r="B78" s="6">
        <v>45734</v>
      </c>
      <c r="C78" s="7" t="str">
        <f>TEXT([1]!Table1[[#This Row],[Date]],"dddd")</f>
        <v>Saturday</v>
      </c>
      <c r="D78" s="7" t="s">
        <v>1</v>
      </c>
      <c r="E78" s="7">
        <v>2025</v>
      </c>
      <c r="F78" s="7" t="s">
        <v>2</v>
      </c>
      <c r="G78" s="7" t="s">
        <v>15</v>
      </c>
      <c r="H78" s="7" t="s">
        <v>61</v>
      </c>
      <c r="I78" s="7">
        <v>4</v>
      </c>
      <c r="J78" s="7">
        <v>150</v>
      </c>
      <c r="K78" s="7">
        <v>600</v>
      </c>
      <c r="L78" s="7" t="s">
        <v>50</v>
      </c>
      <c r="M78" s="7" t="s">
        <v>41</v>
      </c>
      <c r="N78" s="7" t="s">
        <v>122</v>
      </c>
      <c r="O78" s="8" t="str">
        <f>IF(ISNUMBER(SEARCH("cancel",[1]!Table1[[#This Row],[Status]])),"Cancelled",
IF(ISNUMBER(SEARCH("pend",[1]!Table1[[#This Row],[Status]])),"Pending","Completed"))</f>
        <v>Cancelled</v>
      </c>
    </row>
    <row r="79" spans="1:15" x14ac:dyDescent="0.3">
      <c r="A79" s="1" t="s">
        <v>123</v>
      </c>
      <c r="B79" s="2">
        <v>45718</v>
      </c>
      <c r="C79" s="3" t="str">
        <f>TEXT([1]!Table1[[#This Row],[Date]],"dddd")</f>
        <v>Tuesday</v>
      </c>
      <c r="D79" s="3" t="s">
        <v>1</v>
      </c>
      <c r="E79" s="3">
        <v>2025</v>
      </c>
      <c r="F79" s="3" t="s">
        <v>35</v>
      </c>
      <c r="G79" s="3" t="s">
        <v>15</v>
      </c>
      <c r="H79" s="3" t="s">
        <v>16</v>
      </c>
      <c r="I79" s="3">
        <v>1</v>
      </c>
      <c r="J79" s="3">
        <v>500</v>
      </c>
      <c r="K79" s="3">
        <v>500</v>
      </c>
      <c r="L79" s="3" t="s">
        <v>22</v>
      </c>
      <c r="M79" s="3" t="s">
        <v>41</v>
      </c>
      <c r="N79" s="3" t="s">
        <v>122</v>
      </c>
      <c r="O79" s="4" t="str">
        <f>IF(ISNUMBER(SEARCH("cancel",[1]!Table1[[#This Row],[Status]])),"Cancelled",
IF(ISNUMBER(SEARCH("pend",[1]!Table1[[#This Row],[Status]])),"Pending","Completed"))</f>
        <v>Completed</v>
      </c>
    </row>
    <row r="80" spans="1:15" x14ac:dyDescent="0.3">
      <c r="A80" s="5" t="s">
        <v>124</v>
      </c>
      <c r="B80" s="6">
        <v>45724</v>
      </c>
      <c r="C80" s="7" t="str">
        <f>TEXT([1]!Table1[[#This Row],[Date]],"dddd")</f>
        <v>Sunday</v>
      </c>
      <c r="D80" s="7" t="s">
        <v>1</v>
      </c>
      <c r="E80" s="7">
        <v>2025</v>
      </c>
      <c r="F80" s="7" t="s">
        <v>35</v>
      </c>
      <c r="G80" s="7" t="s">
        <v>52</v>
      </c>
      <c r="H80" s="7" t="s">
        <v>53</v>
      </c>
      <c r="I80" s="7">
        <v>3</v>
      </c>
      <c r="J80" s="7">
        <v>20</v>
      </c>
      <c r="K80" s="7">
        <v>60</v>
      </c>
      <c r="L80" s="7" t="s">
        <v>25</v>
      </c>
      <c r="M80" s="7" t="s">
        <v>12</v>
      </c>
      <c r="N80" s="7" t="s">
        <v>122</v>
      </c>
      <c r="O80" s="8" t="str">
        <f>IF(ISNUMBER(SEARCH("cancel",[1]!Table1[[#This Row],[Status]])),"Cancelled",
IF(ISNUMBER(SEARCH("pend",[1]!Table1[[#This Row],[Status]])),"Pending","Completed"))</f>
        <v>Completed</v>
      </c>
    </row>
    <row r="81" spans="1:15" x14ac:dyDescent="0.3">
      <c r="A81" s="1" t="s">
        <v>125</v>
      </c>
      <c r="B81" s="2">
        <v>45729</v>
      </c>
      <c r="C81" s="3" t="str">
        <f>TEXT([1]!Table1[[#This Row],[Date]],"dddd")</f>
        <v>Saturday</v>
      </c>
      <c r="D81" s="3" t="s">
        <v>1</v>
      </c>
      <c r="E81" s="3">
        <v>2025</v>
      </c>
      <c r="F81" s="3" t="s">
        <v>19</v>
      </c>
      <c r="G81" s="3" t="s">
        <v>52</v>
      </c>
      <c r="H81" s="3" t="s">
        <v>77</v>
      </c>
      <c r="I81" s="3">
        <v>4</v>
      </c>
      <c r="J81" s="3">
        <v>40</v>
      </c>
      <c r="K81" s="3">
        <v>160</v>
      </c>
      <c r="L81" s="3" t="s">
        <v>31</v>
      </c>
      <c r="M81" s="3" t="s">
        <v>12</v>
      </c>
      <c r="N81" s="3" t="s">
        <v>122</v>
      </c>
      <c r="O81" s="4" t="str">
        <f>IF(ISNUMBER(SEARCH("cancel",[1]!Table1[[#This Row],[Status]])),"Cancelled",
IF(ISNUMBER(SEARCH("pend",[1]!Table1[[#This Row],[Status]])),"Pending","Completed"))</f>
        <v>Completed</v>
      </c>
    </row>
    <row r="82" spans="1:15" x14ac:dyDescent="0.3">
      <c r="A82" s="5" t="s">
        <v>126</v>
      </c>
      <c r="B82" s="6">
        <v>45708</v>
      </c>
      <c r="C82" s="7" t="str">
        <f>TEXT([1]!Table1[[#This Row],[Date]],"dddd")</f>
        <v>Thursday</v>
      </c>
      <c r="D82" s="7" t="s">
        <v>9</v>
      </c>
      <c r="E82" s="7">
        <v>2025</v>
      </c>
      <c r="F82" s="7" t="s">
        <v>10</v>
      </c>
      <c r="G82" s="7" t="s">
        <v>15</v>
      </c>
      <c r="H82" s="7" t="s">
        <v>61</v>
      </c>
      <c r="I82" s="7">
        <v>4</v>
      </c>
      <c r="J82" s="7">
        <v>150</v>
      </c>
      <c r="K82" s="7">
        <v>600</v>
      </c>
      <c r="L82" s="7" t="s">
        <v>70</v>
      </c>
      <c r="M82" s="7" t="s">
        <v>6</v>
      </c>
      <c r="N82" s="7" t="s">
        <v>122</v>
      </c>
      <c r="O82" s="8" t="str">
        <f>IF(ISNUMBER(SEARCH("cancel",[1]!Table1[[#This Row],[Status]])),"Cancelled",
IF(ISNUMBER(SEARCH("pend",[1]!Table1[[#This Row],[Status]])),"Pending","Completed"))</f>
        <v>Completed</v>
      </c>
    </row>
    <row r="83" spans="1:15" x14ac:dyDescent="0.3">
      <c r="A83" s="1" t="s">
        <v>127</v>
      </c>
      <c r="B83" s="2">
        <v>45748</v>
      </c>
      <c r="C83" s="3" t="str">
        <f>TEXT([1]!Table1[[#This Row],[Date]],"dddd")</f>
        <v>Thursday</v>
      </c>
      <c r="D83" s="3" t="s">
        <v>59</v>
      </c>
      <c r="E83" s="3">
        <v>2025</v>
      </c>
      <c r="F83" s="3" t="s">
        <v>2</v>
      </c>
      <c r="G83" s="3" t="s">
        <v>52</v>
      </c>
      <c r="H83" s="3" t="s">
        <v>53</v>
      </c>
      <c r="I83" s="3">
        <v>1</v>
      </c>
      <c r="J83" s="3">
        <v>20</v>
      </c>
      <c r="K83" s="3">
        <v>20</v>
      </c>
      <c r="L83" s="3" t="s">
        <v>5</v>
      </c>
      <c r="M83" s="3" t="s">
        <v>6</v>
      </c>
      <c r="N83" s="3" t="s">
        <v>122</v>
      </c>
      <c r="O83" s="4" t="str">
        <f>IF(ISNUMBER(SEARCH("cancel",[1]!Table1[[#This Row],[Status]])),"Cancelled",
IF(ISNUMBER(SEARCH("pend",[1]!Table1[[#This Row],[Status]])),"Pending","Completed"))</f>
        <v>Completed</v>
      </c>
    </row>
    <row r="84" spans="1:15" x14ac:dyDescent="0.3">
      <c r="A84" s="5" t="s">
        <v>128</v>
      </c>
      <c r="B84" s="6">
        <v>45698</v>
      </c>
      <c r="C84" s="7" t="str">
        <f>TEXT([1]!Table1[[#This Row],[Date]],"dddd")</f>
        <v>Tuesday</v>
      </c>
      <c r="D84" s="7" t="s">
        <v>9</v>
      </c>
      <c r="E84" s="7">
        <v>2025</v>
      </c>
      <c r="F84" s="7" t="s">
        <v>19</v>
      </c>
      <c r="G84" s="7" t="s">
        <v>15</v>
      </c>
      <c r="H84" s="7" t="s">
        <v>16</v>
      </c>
      <c r="I84" s="7">
        <v>2</v>
      </c>
      <c r="J84" s="7">
        <v>500</v>
      </c>
      <c r="K84" s="7">
        <v>1000</v>
      </c>
      <c r="L84" s="7" t="s">
        <v>56</v>
      </c>
      <c r="M84" s="7" t="s">
        <v>12</v>
      </c>
      <c r="N84" s="7" t="s">
        <v>122</v>
      </c>
      <c r="O84" s="8" t="str">
        <f>IF(ISNUMBER(SEARCH("cancel",[1]!Table1[[#This Row],[Status]])),"Cancelled",
IF(ISNUMBER(SEARCH("pend",[1]!Table1[[#This Row],[Status]])),"Pending","Completed"))</f>
        <v>Completed</v>
      </c>
    </row>
    <row r="85" spans="1:15" x14ac:dyDescent="0.3">
      <c r="A85" s="1" t="s">
        <v>129</v>
      </c>
      <c r="B85" s="2">
        <v>45738</v>
      </c>
      <c r="C85" s="3" t="str">
        <f>TEXT([1]!Table1[[#This Row],[Date]],"dddd")</f>
        <v>Monday</v>
      </c>
      <c r="D85" s="3" t="s">
        <v>1</v>
      </c>
      <c r="E85" s="3">
        <v>2025</v>
      </c>
      <c r="F85" s="3" t="s">
        <v>33</v>
      </c>
      <c r="G85" s="3" t="s">
        <v>3</v>
      </c>
      <c r="H85" s="3" t="s">
        <v>4</v>
      </c>
      <c r="I85" s="3">
        <v>3</v>
      </c>
      <c r="J85" s="3">
        <v>60</v>
      </c>
      <c r="K85" s="3">
        <v>180</v>
      </c>
      <c r="L85" s="3" t="s">
        <v>50</v>
      </c>
      <c r="M85" s="3" t="s">
        <v>6</v>
      </c>
      <c r="N85" s="3" t="s">
        <v>122</v>
      </c>
      <c r="O85" s="4" t="str">
        <f>IF(ISNUMBER(SEARCH("cancel",[1]!Table1[[#This Row],[Status]])),"Cancelled",
IF(ISNUMBER(SEARCH("pend",[1]!Table1[[#This Row],[Status]])),"Pending","Completed"))</f>
        <v>Completed</v>
      </c>
    </row>
    <row r="86" spans="1:15" x14ac:dyDescent="0.3">
      <c r="A86" s="5" t="s">
        <v>130</v>
      </c>
      <c r="B86" s="6">
        <v>45718</v>
      </c>
      <c r="C86" s="7" t="str">
        <f>TEXT([1]!Table1[[#This Row],[Date]],"dddd")</f>
        <v>Saturday</v>
      </c>
      <c r="D86" s="7" t="s">
        <v>1</v>
      </c>
      <c r="E86" s="7">
        <v>2025</v>
      </c>
      <c r="F86" s="7" t="s">
        <v>35</v>
      </c>
      <c r="G86" s="7" t="s">
        <v>39</v>
      </c>
      <c r="H86" s="7" t="s">
        <v>40</v>
      </c>
      <c r="I86" s="7">
        <v>5</v>
      </c>
      <c r="J86" s="7">
        <v>15</v>
      </c>
      <c r="K86" s="7">
        <v>75</v>
      </c>
      <c r="L86" s="7" t="s">
        <v>70</v>
      </c>
      <c r="M86" s="7" t="s">
        <v>6</v>
      </c>
      <c r="N86" s="7" t="s">
        <v>122</v>
      </c>
      <c r="O86" s="8" t="str">
        <f>IF(ISNUMBER(SEARCH("cancel",[1]!Table1[[#This Row],[Status]])),"Cancelled",
IF(ISNUMBER(SEARCH("pend",[1]!Table1[[#This Row],[Status]])),"Pending","Completed"))</f>
        <v>Completed</v>
      </c>
    </row>
    <row r="87" spans="1:15" x14ac:dyDescent="0.3">
      <c r="A87" s="1" t="s">
        <v>131</v>
      </c>
      <c r="B87" s="2">
        <v>45691</v>
      </c>
      <c r="C87" s="3" t="str">
        <f>TEXT([1]!Table1[[#This Row],[Date]],"dddd")</f>
        <v>Sunday</v>
      </c>
      <c r="D87" s="3" t="s">
        <v>9</v>
      </c>
      <c r="E87" s="3">
        <v>2025</v>
      </c>
      <c r="F87" s="3" t="s">
        <v>45</v>
      </c>
      <c r="G87" s="3" t="s">
        <v>15</v>
      </c>
      <c r="H87" s="3" t="s">
        <v>29</v>
      </c>
      <c r="I87" s="3">
        <v>1</v>
      </c>
      <c r="J87" s="3">
        <v>100</v>
      </c>
      <c r="K87" s="3">
        <v>100</v>
      </c>
      <c r="L87" s="3" t="s">
        <v>47</v>
      </c>
      <c r="M87" s="3" t="s">
        <v>6</v>
      </c>
      <c r="N87" s="3" t="s">
        <v>122</v>
      </c>
      <c r="O87" s="4" t="str">
        <f>IF(ISNUMBER(SEARCH("cancel",[1]!Table1[[#This Row],[Status]])),"Cancelled",
IF(ISNUMBER(SEARCH("pend",[1]!Table1[[#This Row],[Status]])),"Pending","Completed"))</f>
        <v>Completed</v>
      </c>
    </row>
    <row r="88" spans="1:15" x14ac:dyDescent="0.3">
      <c r="A88" s="5" t="s">
        <v>132</v>
      </c>
      <c r="B88" s="6">
        <v>45749</v>
      </c>
      <c r="C88" s="7" t="str">
        <f>TEXT([1]!Table1[[#This Row],[Date]],"dddd")</f>
        <v>Monday</v>
      </c>
      <c r="D88" s="7" t="s">
        <v>59</v>
      </c>
      <c r="E88" s="7">
        <v>2025</v>
      </c>
      <c r="F88" s="7" t="s">
        <v>2</v>
      </c>
      <c r="G88" s="7" t="s">
        <v>15</v>
      </c>
      <c r="H88" s="7" t="s">
        <v>83</v>
      </c>
      <c r="I88" s="7">
        <v>3</v>
      </c>
      <c r="J88" s="7">
        <v>800</v>
      </c>
      <c r="K88" s="7">
        <v>2400</v>
      </c>
      <c r="L88" s="7" t="s">
        <v>11</v>
      </c>
      <c r="M88" s="7" t="s">
        <v>6</v>
      </c>
      <c r="N88" s="7" t="s">
        <v>122</v>
      </c>
      <c r="O88" s="8" t="str">
        <f>IF(ISNUMBER(SEARCH("cancel",[1]!Table1[[#This Row],[Status]])),"Cancelled",
IF(ISNUMBER(SEARCH("pend",[1]!Table1[[#This Row],[Status]])),"Pending","Completed"))</f>
        <v>Completed</v>
      </c>
    </row>
    <row r="89" spans="1:15" x14ac:dyDescent="0.3">
      <c r="A89" s="1" t="s">
        <v>133</v>
      </c>
      <c r="B89" s="2">
        <v>45742</v>
      </c>
      <c r="C89" s="3" t="str">
        <f>TEXT([1]!Table1[[#This Row],[Date]],"dddd")</f>
        <v>Wednesday</v>
      </c>
      <c r="D89" s="3" t="s">
        <v>1</v>
      </c>
      <c r="E89" s="3">
        <v>2025</v>
      </c>
      <c r="F89" s="3" t="s">
        <v>33</v>
      </c>
      <c r="G89" s="3" t="s">
        <v>15</v>
      </c>
      <c r="H89" s="3" t="s">
        <v>83</v>
      </c>
      <c r="I89" s="3">
        <v>3</v>
      </c>
      <c r="J89" s="3">
        <v>800</v>
      </c>
      <c r="K89" s="3">
        <v>2400</v>
      </c>
      <c r="L89" s="3" t="s">
        <v>47</v>
      </c>
      <c r="M89" s="3" t="s">
        <v>41</v>
      </c>
      <c r="N89" s="3" t="s">
        <v>122</v>
      </c>
      <c r="O89" s="4" t="str">
        <f>IF(ISNUMBER(SEARCH("cancel",[1]!Table1[[#This Row],[Status]])),"Cancelled",
IF(ISNUMBER(SEARCH("pend",[1]!Table1[[#This Row],[Status]])),"Pending","Completed"))</f>
        <v>Completed</v>
      </c>
    </row>
    <row r="90" spans="1:15" x14ac:dyDescent="0.3">
      <c r="A90" s="5" t="s">
        <v>134</v>
      </c>
      <c r="B90" s="6">
        <v>45718</v>
      </c>
      <c r="C90" s="7" t="str">
        <f>TEXT([1]!Table1[[#This Row],[Date]],"dddd")</f>
        <v>Wednesday</v>
      </c>
      <c r="D90" s="7" t="s">
        <v>1</v>
      </c>
      <c r="E90" s="7">
        <v>2025</v>
      </c>
      <c r="F90" s="7" t="s">
        <v>33</v>
      </c>
      <c r="G90" s="7" t="s">
        <v>15</v>
      </c>
      <c r="H90" s="7" t="s">
        <v>83</v>
      </c>
      <c r="I90" s="7">
        <v>2</v>
      </c>
      <c r="J90" s="7">
        <v>800</v>
      </c>
      <c r="K90" s="7">
        <v>1600</v>
      </c>
      <c r="L90" s="7" t="s">
        <v>17</v>
      </c>
      <c r="M90" s="7" t="s">
        <v>6</v>
      </c>
      <c r="N90" s="7" t="s">
        <v>122</v>
      </c>
      <c r="O90" s="8" t="str">
        <f>IF(ISNUMBER(SEARCH("cancel",[1]!Table1[[#This Row],[Status]])),"Cancelled",
IF(ISNUMBER(SEARCH("pend",[1]!Table1[[#This Row],[Status]])),"Pending","Completed"))</f>
        <v>Completed</v>
      </c>
    </row>
    <row r="91" spans="1:15" x14ac:dyDescent="0.3">
      <c r="A91" s="1" t="s">
        <v>135</v>
      </c>
      <c r="B91" s="2">
        <v>45699</v>
      </c>
      <c r="C91" s="3" t="str">
        <f>TEXT([1]!Table1[[#This Row],[Date]],"dddd")</f>
        <v>Sunday</v>
      </c>
      <c r="D91" s="3" t="s">
        <v>9</v>
      </c>
      <c r="E91" s="3">
        <v>2025</v>
      </c>
      <c r="F91" s="3" t="s">
        <v>45</v>
      </c>
      <c r="G91" s="3" t="s">
        <v>52</v>
      </c>
      <c r="H91" s="3" t="s">
        <v>53</v>
      </c>
      <c r="I91" s="3">
        <v>5</v>
      </c>
      <c r="J91" s="3">
        <v>20</v>
      </c>
      <c r="K91" s="3">
        <v>100</v>
      </c>
      <c r="L91" s="3" t="s">
        <v>11</v>
      </c>
      <c r="M91" s="3" t="s">
        <v>26</v>
      </c>
      <c r="N91" s="3" t="s">
        <v>122</v>
      </c>
      <c r="O91" s="4" t="str">
        <f>IF(ISNUMBER(SEARCH("cancel",[1]!Table1[[#This Row],[Status]])),"Cancelled",
IF(ISNUMBER(SEARCH("pend",[1]!Table1[[#This Row],[Status]])),"Pending","Completed"))</f>
        <v>Completed</v>
      </c>
    </row>
    <row r="92" spans="1:15" x14ac:dyDescent="0.3">
      <c r="A92" s="5" t="s">
        <v>136</v>
      </c>
      <c r="B92" s="6">
        <v>45706</v>
      </c>
      <c r="C92" s="7" t="str">
        <f>TEXT([1]!Table1[[#This Row],[Date]],"dddd")</f>
        <v>Tuesday</v>
      </c>
      <c r="D92" s="7" t="s">
        <v>9</v>
      </c>
      <c r="E92" s="7">
        <v>2025</v>
      </c>
      <c r="F92" s="7" t="s">
        <v>2</v>
      </c>
      <c r="G92" s="7" t="s">
        <v>15</v>
      </c>
      <c r="H92" s="7" t="s">
        <v>16</v>
      </c>
      <c r="I92" s="7">
        <v>4</v>
      </c>
      <c r="J92" s="7">
        <v>500</v>
      </c>
      <c r="K92" s="7">
        <v>2000</v>
      </c>
      <c r="L92" s="7" t="s">
        <v>47</v>
      </c>
      <c r="M92" s="7" t="s">
        <v>36</v>
      </c>
      <c r="N92" s="7" t="s">
        <v>122</v>
      </c>
      <c r="O92" s="8" t="str">
        <f>IF(ISNUMBER(SEARCH("cancel",[1]!Table1[[#This Row],[Status]])),"Cancelled",
IF(ISNUMBER(SEARCH("pend",[1]!Table1[[#This Row],[Status]])),"Pending","Completed"))</f>
        <v>Completed</v>
      </c>
    </row>
    <row r="93" spans="1:15" x14ac:dyDescent="0.3">
      <c r="A93" s="1" t="s">
        <v>137</v>
      </c>
      <c r="B93" s="2">
        <v>45730</v>
      </c>
      <c r="C93" s="3" t="str">
        <f>TEXT([1]!Table1[[#This Row],[Date]],"dddd")</f>
        <v>Tuesday</v>
      </c>
      <c r="D93" s="3" t="s">
        <v>1</v>
      </c>
      <c r="E93" s="3">
        <v>2025</v>
      </c>
      <c r="F93" s="3" t="s">
        <v>10</v>
      </c>
      <c r="G93" s="3" t="s">
        <v>52</v>
      </c>
      <c r="H93" s="3" t="s">
        <v>77</v>
      </c>
      <c r="I93" s="3">
        <v>3</v>
      </c>
      <c r="J93" s="3">
        <v>40</v>
      </c>
      <c r="K93" s="3">
        <v>120</v>
      </c>
      <c r="L93" s="3" t="s">
        <v>25</v>
      </c>
      <c r="M93" s="3" t="s">
        <v>41</v>
      </c>
      <c r="N93" s="3" t="s">
        <v>122</v>
      </c>
      <c r="O93" s="4" t="str">
        <f>IF(ISNUMBER(SEARCH("cancel",[1]!Table1[[#This Row],[Status]])),"Cancelled",
IF(ISNUMBER(SEARCH("pend",[1]!Table1[[#This Row],[Status]])),"Pending","Completed"))</f>
        <v>Completed</v>
      </c>
    </row>
    <row r="94" spans="1:15" x14ac:dyDescent="0.3">
      <c r="A94" s="5" t="s">
        <v>138</v>
      </c>
      <c r="B94" s="6">
        <v>45740</v>
      </c>
      <c r="C94" s="7" t="str">
        <f>TEXT([1]!Table1[[#This Row],[Date]],"dddd")</f>
        <v>Friday</v>
      </c>
      <c r="D94" s="7" t="s">
        <v>1</v>
      </c>
      <c r="E94" s="7">
        <v>2025</v>
      </c>
      <c r="F94" s="7" t="s">
        <v>14</v>
      </c>
      <c r="G94" s="7" t="s">
        <v>3</v>
      </c>
      <c r="H94" s="7" t="s">
        <v>4</v>
      </c>
      <c r="I94" s="7">
        <v>4</v>
      </c>
      <c r="J94" s="7">
        <v>60</v>
      </c>
      <c r="K94" s="7">
        <v>240</v>
      </c>
      <c r="L94" s="7" t="s">
        <v>56</v>
      </c>
      <c r="M94" s="7" t="s">
        <v>41</v>
      </c>
      <c r="N94" s="7" t="s">
        <v>122</v>
      </c>
      <c r="O94" s="8" t="str">
        <f>IF(ISNUMBER(SEARCH("cancel",[1]!Table1[[#This Row],[Status]])),"Cancelled",
IF(ISNUMBER(SEARCH("pend",[1]!Table1[[#This Row],[Status]])),"Pending","Completed"))</f>
        <v>Completed</v>
      </c>
    </row>
    <row r="95" spans="1:15" x14ac:dyDescent="0.3">
      <c r="A95" s="1" t="s">
        <v>139</v>
      </c>
      <c r="B95" s="2">
        <v>45731</v>
      </c>
      <c r="C95" s="3" t="str">
        <f>TEXT([1]!Table1[[#This Row],[Date]],"dddd")</f>
        <v>Monday</v>
      </c>
      <c r="D95" s="3" t="s">
        <v>1</v>
      </c>
      <c r="E95" s="3">
        <v>2025</v>
      </c>
      <c r="F95" s="3" t="s">
        <v>35</v>
      </c>
      <c r="G95" s="3" t="s">
        <v>52</v>
      </c>
      <c r="H95" s="3" t="s">
        <v>77</v>
      </c>
      <c r="I95" s="3">
        <v>2</v>
      </c>
      <c r="J95" s="3">
        <v>40</v>
      </c>
      <c r="K95" s="3">
        <v>80</v>
      </c>
      <c r="L95" s="3" t="s">
        <v>31</v>
      </c>
      <c r="M95" s="3" t="s">
        <v>12</v>
      </c>
      <c r="N95" s="3" t="s">
        <v>122</v>
      </c>
      <c r="O95" s="4" t="str">
        <f>IF(ISNUMBER(SEARCH("cancel",[1]!Table1[[#This Row],[Status]])),"Cancelled",
IF(ISNUMBER(SEARCH("pend",[1]!Table1[[#This Row],[Status]])),"Pending","Completed"))</f>
        <v>Completed</v>
      </c>
    </row>
    <row r="96" spans="1:15" x14ac:dyDescent="0.3">
      <c r="A96" s="5" t="s">
        <v>140</v>
      </c>
      <c r="B96" s="6">
        <v>45735</v>
      </c>
      <c r="C96" s="7" t="str">
        <f>TEXT([1]!Table1[[#This Row],[Date]],"dddd")</f>
        <v>Saturday</v>
      </c>
      <c r="D96" s="7" t="s">
        <v>1</v>
      </c>
      <c r="E96" s="7">
        <v>2025</v>
      </c>
      <c r="F96" s="7" t="s">
        <v>2</v>
      </c>
      <c r="G96" s="7" t="s">
        <v>15</v>
      </c>
      <c r="H96" s="7" t="s">
        <v>61</v>
      </c>
      <c r="I96" s="7">
        <v>2</v>
      </c>
      <c r="J96" s="7">
        <v>150</v>
      </c>
      <c r="K96" s="7">
        <v>300</v>
      </c>
      <c r="L96" s="7" t="s">
        <v>31</v>
      </c>
      <c r="M96" s="7" t="s">
        <v>41</v>
      </c>
      <c r="N96" s="7" t="s">
        <v>122</v>
      </c>
      <c r="O96" s="8" t="str">
        <f>IF(ISNUMBER(SEARCH("cancel",[1]!Table1[[#This Row],[Status]])),"Cancelled",
IF(ISNUMBER(SEARCH("pend",[1]!Table1[[#This Row],[Status]])),"Pending","Completed"))</f>
        <v>Completed</v>
      </c>
    </row>
    <row r="97" spans="1:15" x14ac:dyDescent="0.3">
      <c r="A97" s="1" t="s">
        <v>141</v>
      </c>
      <c r="B97" s="2">
        <v>45698</v>
      </c>
      <c r="C97" s="3" t="str">
        <f>TEXT([1]!Table1[[#This Row],[Date]],"dddd")</f>
        <v>Wednesday</v>
      </c>
      <c r="D97" s="3" t="s">
        <v>9</v>
      </c>
      <c r="E97" s="3">
        <v>2025</v>
      </c>
      <c r="F97" s="3" t="s">
        <v>33</v>
      </c>
      <c r="G97" s="3" t="s">
        <v>15</v>
      </c>
      <c r="H97" s="3" t="s">
        <v>83</v>
      </c>
      <c r="I97" s="3">
        <v>5</v>
      </c>
      <c r="J97" s="3">
        <v>800</v>
      </c>
      <c r="K97" s="3">
        <v>4000</v>
      </c>
      <c r="L97" s="3" t="s">
        <v>17</v>
      </c>
      <c r="M97" s="3" t="s">
        <v>36</v>
      </c>
      <c r="N97" s="3" t="s">
        <v>122</v>
      </c>
      <c r="O97" s="4" t="str">
        <f>IF(ISNUMBER(SEARCH("cancel",[1]!Table1[[#This Row],[Status]])),"Cancelled",
IF(ISNUMBER(SEARCH("pend",[1]!Table1[[#This Row],[Status]])),"Pending","Completed"))</f>
        <v>Completed</v>
      </c>
    </row>
    <row r="98" spans="1:15" x14ac:dyDescent="0.3">
      <c r="A98" s="5" t="s">
        <v>142</v>
      </c>
      <c r="B98" s="6">
        <v>45746</v>
      </c>
      <c r="C98" s="7" t="str">
        <f>TEXT([1]!Table1[[#This Row],[Date]],"dddd")</f>
        <v>Monday</v>
      </c>
      <c r="D98" s="7" t="s">
        <v>1</v>
      </c>
      <c r="E98" s="7">
        <v>2025</v>
      </c>
      <c r="F98" s="7" t="s">
        <v>2</v>
      </c>
      <c r="G98" s="7" t="s">
        <v>15</v>
      </c>
      <c r="H98" s="7" t="s">
        <v>16</v>
      </c>
      <c r="I98" s="7">
        <v>5</v>
      </c>
      <c r="J98" s="7">
        <v>500</v>
      </c>
      <c r="K98" s="7">
        <v>2500</v>
      </c>
      <c r="L98" s="7" t="s">
        <v>22</v>
      </c>
      <c r="M98" s="7" t="s">
        <v>12</v>
      </c>
      <c r="N98" s="7" t="s">
        <v>122</v>
      </c>
      <c r="O98" s="8" t="str">
        <f>IF(ISNUMBER(SEARCH("cancel",[1]!Table1[[#This Row],[Status]])),"Cancelled",
IF(ISNUMBER(SEARCH("pend",[1]!Table1[[#This Row],[Status]])),"Pending","Completed"))</f>
        <v>Completed</v>
      </c>
    </row>
    <row r="99" spans="1:15" x14ac:dyDescent="0.3">
      <c r="A99" s="1" t="s">
        <v>143</v>
      </c>
      <c r="B99" s="2">
        <v>45726</v>
      </c>
      <c r="C99" s="3" t="str">
        <f>TEXT([1]!Table1[[#This Row],[Date]],"dddd")</f>
        <v>Sunday</v>
      </c>
      <c r="D99" s="3" t="s">
        <v>1</v>
      </c>
      <c r="E99" s="3">
        <v>2025</v>
      </c>
      <c r="F99" s="3" t="s">
        <v>14</v>
      </c>
      <c r="G99" s="3" t="s">
        <v>39</v>
      </c>
      <c r="H99" s="3" t="s">
        <v>40</v>
      </c>
      <c r="I99" s="3">
        <v>1</v>
      </c>
      <c r="J99" s="3">
        <v>15</v>
      </c>
      <c r="K99" s="3">
        <v>15</v>
      </c>
      <c r="L99" s="3" t="s">
        <v>25</v>
      </c>
      <c r="M99" s="3" t="s">
        <v>6</v>
      </c>
      <c r="N99" s="3" t="s">
        <v>122</v>
      </c>
      <c r="O99" s="4" t="str">
        <f>IF(ISNUMBER(SEARCH("cancel",[1]!Table1[[#This Row],[Status]])),"Cancelled",
IF(ISNUMBER(SEARCH("pend",[1]!Table1[[#This Row],[Status]])),"Pending","Completed"))</f>
        <v>Completed</v>
      </c>
    </row>
    <row r="100" spans="1:15" x14ac:dyDescent="0.3">
      <c r="A100" s="5" t="s">
        <v>144</v>
      </c>
      <c r="B100" s="6">
        <v>45712</v>
      </c>
      <c r="C100" s="7" t="str">
        <f>TEXT([1]!Table1[[#This Row],[Date]],"dddd")</f>
        <v>Monday</v>
      </c>
      <c r="D100" s="7" t="s">
        <v>9</v>
      </c>
      <c r="E100" s="7">
        <v>2025</v>
      </c>
      <c r="F100" s="7" t="s">
        <v>45</v>
      </c>
      <c r="G100" s="7" t="s">
        <v>20</v>
      </c>
      <c r="H100" s="7" t="s">
        <v>21</v>
      </c>
      <c r="I100" s="7">
        <v>1</v>
      </c>
      <c r="J100" s="7">
        <v>600</v>
      </c>
      <c r="K100" s="7">
        <v>600</v>
      </c>
      <c r="L100" s="7" t="s">
        <v>31</v>
      </c>
      <c r="M100" s="7" t="s">
        <v>12</v>
      </c>
      <c r="N100" s="7" t="s">
        <v>122</v>
      </c>
      <c r="O100" s="8" t="str">
        <f>IF(ISNUMBER(SEARCH("cancel",[1]!Table1[[#This Row],[Status]])),"Cancelled",
IF(ISNUMBER(SEARCH("pend",[1]!Table1[[#This Row],[Status]])),"Pending","Completed"))</f>
        <v>Completed</v>
      </c>
    </row>
    <row r="101" spans="1:15" x14ac:dyDescent="0.3">
      <c r="A101" s="1" t="s">
        <v>145</v>
      </c>
      <c r="B101" s="2">
        <v>45736</v>
      </c>
      <c r="C101" s="3" t="str">
        <f>TEXT([1]!Table1[[#This Row],[Date]],"dddd")</f>
        <v>Monday</v>
      </c>
      <c r="D101" s="3" t="s">
        <v>1</v>
      </c>
      <c r="E101" s="3">
        <v>2025</v>
      </c>
      <c r="F101" s="3" t="s">
        <v>60</v>
      </c>
      <c r="G101" s="3" t="s">
        <v>15</v>
      </c>
      <c r="H101" s="3" t="s">
        <v>29</v>
      </c>
      <c r="I101" s="3">
        <v>2</v>
      </c>
      <c r="J101" s="3">
        <v>100</v>
      </c>
      <c r="K101" s="3">
        <v>200</v>
      </c>
      <c r="L101" s="3" t="s">
        <v>50</v>
      </c>
      <c r="M101" s="3" t="s">
        <v>41</v>
      </c>
      <c r="N101" s="3" t="s">
        <v>122</v>
      </c>
      <c r="O101" s="4" t="str">
        <f>IF(ISNUMBER(SEARCH("cancel",[1]!Table1[[#This Row],[Status]])),"Cancelled",
IF(ISNUMBER(SEARCH("pend",[1]!Table1[[#This Row],[Status]])),"Pending","Completed"))</f>
        <v>Completed</v>
      </c>
    </row>
    <row r="102" spans="1:15" x14ac:dyDescent="0.3">
      <c r="A102" s="5" t="s">
        <v>146</v>
      </c>
      <c r="B102" s="6">
        <v>45702</v>
      </c>
      <c r="C102" s="7" t="str">
        <f>TEXT([1]!Table1[[#This Row],[Date]],"dddd")</f>
        <v>Thursday</v>
      </c>
      <c r="D102" s="7" t="s">
        <v>9</v>
      </c>
      <c r="E102" s="7">
        <v>2025</v>
      </c>
      <c r="F102" s="7" t="s">
        <v>33</v>
      </c>
      <c r="G102" s="7" t="s">
        <v>52</v>
      </c>
      <c r="H102" s="7" t="s">
        <v>53</v>
      </c>
      <c r="I102" s="7">
        <v>5</v>
      </c>
      <c r="J102" s="7">
        <v>20</v>
      </c>
      <c r="K102" s="7">
        <v>100</v>
      </c>
      <c r="L102" s="7" t="s">
        <v>25</v>
      </c>
      <c r="M102" s="7" t="s">
        <v>41</v>
      </c>
      <c r="N102" s="7" t="s">
        <v>122</v>
      </c>
      <c r="O102" s="8" t="str">
        <f>IF(ISNUMBER(SEARCH("cancel",[1]!Table1[[#This Row],[Status]])),"Cancelled",
IF(ISNUMBER(SEARCH("pend",[1]!Table1[[#This Row],[Status]])),"Pending","Completed"))</f>
        <v>Completed</v>
      </c>
    </row>
    <row r="103" spans="1:15" x14ac:dyDescent="0.3">
      <c r="A103" s="1" t="s">
        <v>147</v>
      </c>
      <c r="B103" s="2">
        <v>45694</v>
      </c>
      <c r="C103" s="3" t="str">
        <f>TEXT([1]!Table1[[#This Row],[Date]],"dddd")</f>
        <v>Friday</v>
      </c>
      <c r="D103" s="3" t="s">
        <v>9</v>
      </c>
      <c r="E103" s="3">
        <v>2025</v>
      </c>
      <c r="F103" s="3" t="s">
        <v>19</v>
      </c>
      <c r="G103" s="3" t="s">
        <v>15</v>
      </c>
      <c r="H103" s="3" t="s">
        <v>16</v>
      </c>
      <c r="I103" s="3">
        <v>5</v>
      </c>
      <c r="J103" s="3">
        <v>500</v>
      </c>
      <c r="K103" s="3">
        <v>2500</v>
      </c>
      <c r="L103" s="3" t="s">
        <v>50</v>
      </c>
      <c r="M103" s="3" t="s">
        <v>26</v>
      </c>
      <c r="N103" s="3" t="s">
        <v>122</v>
      </c>
      <c r="O103" s="4" t="str">
        <f>IF(ISNUMBER(SEARCH("cancel",[1]!Table1[[#This Row],[Status]])),"Cancelled",
IF(ISNUMBER(SEARCH("pend",[1]!Table1[[#This Row],[Status]])),"Pending","Completed"))</f>
        <v>Completed</v>
      </c>
    </row>
    <row r="104" spans="1:15" x14ac:dyDescent="0.3">
      <c r="A104" s="5" t="s">
        <v>148</v>
      </c>
      <c r="B104" s="6">
        <v>45729</v>
      </c>
      <c r="C104" s="7" t="str">
        <f>TEXT([1]!Table1[[#This Row],[Date]],"dddd")</f>
        <v>Thursday</v>
      </c>
      <c r="D104" s="7" t="s">
        <v>1</v>
      </c>
      <c r="E104" s="7">
        <v>2025</v>
      </c>
      <c r="F104" s="7" t="s">
        <v>2</v>
      </c>
      <c r="G104" s="7" t="s">
        <v>3</v>
      </c>
      <c r="H104" s="7" t="s">
        <v>4</v>
      </c>
      <c r="I104" s="7">
        <v>5</v>
      </c>
      <c r="J104" s="7">
        <v>60</v>
      </c>
      <c r="K104" s="7">
        <v>300</v>
      </c>
      <c r="L104" s="7" t="s">
        <v>22</v>
      </c>
      <c r="M104" s="7" t="s">
        <v>6</v>
      </c>
      <c r="N104" s="7" t="s">
        <v>122</v>
      </c>
      <c r="O104" s="8" t="str">
        <f>IF(ISNUMBER(SEARCH("cancel",[1]!Table1[[#This Row],[Status]])),"Cancelled",
IF(ISNUMBER(SEARCH("pend",[1]!Table1[[#This Row],[Status]])),"Pending","Completed"))</f>
        <v>Completed</v>
      </c>
    </row>
    <row r="105" spans="1:15" x14ac:dyDescent="0.3">
      <c r="A105" s="1" t="s">
        <v>149</v>
      </c>
      <c r="B105" s="2">
        <v>45740</v>
      </c>
      <c r="C105" s="3" t="str">
        <f>TEXT([1]!Table1[[#This Row],[Date]],"dddd")</f>
        <v>Thursday</v>
      </c>
      <c r="D105" s="3" t="s">
        <v>1</v>
      </c>
      <c r="E105" s="3">
        <v>2025</v>
      </c>
      <c r="F105" s="3" t="s">
        <v>14</v>
      </c>
      <c r="G105" s="3" t="s">
        <v>15</v>
      </c>
      <c r="H105" s="3" t="s">
        <v>61</v>
      </c>
      <c r="I105" s="3">
        <v>5</v>
      </c>
      <c r="J105" s="3">
        <v>150</v>
      </c>
      <c r="K105" s="3">
        <v>750</v>
      </c>
      <c r="L105" s="3" t="s">
        <v>50</v>
      </c>
      <c r="M105" s="3" t="s">
        <v>6</v>
      </c>
      <c r="N105" s="3" t="s">
        <v>122</v>
      </c>
      <c r="O105" s="4" t="str">
        <f>IF(ISNUMBER(SEARCH("cancel",[1]!Table1[[#This Row],[Status]])),"Cancelled",
IF(ISNUMBER(SEARCH("pend",[1]!Table1[[#This Row],[Status]])),"Pending","Completed"))</f>
        <v>Completed</v>
      </c>
    </row>
    <row r="106" spans="1:15" x14ac:dyDescent="0.3">
      <c r="A106" s="5" t="s">
        <v>150</v>
      </c>
      <c r="B106" s="6">
        <v>45746</v>
      </c>
      <c r="C106" s="7" t="str">
        <f>TEXT([1]!Table1[[#This Row],[Date]],"dddd")</f>
        <v>Monday</v>
      </c>
      <c r="D106" s="7" t="s">
        <v>1</v>
      </c>
      <c r="E106" s="7">
        <v>2025</v>
      </c>
      <c r="F106" s="7" t="s">
        <v>45</v>
      </c>
      <c r="G106" s="7" t="s">
        <v>15</v>
      </c>
      <c r="H106" s="7" t="s">
        <v>61</v>
      </c>
      <c r="I106" s="7">
        <v>3</v>
      </c>
      <c r="J106" s="7">
        <v>150</v>
      </c>
      <c r="K106" s="7">
        <v>450</v>
      </c>
      <c r="L106" s="7" t="s">
        <v>5</v>
      </c>
      <c r="M106" s="7" t="s">
        <v>26</v>
      </c>
      <c r="N106" s="7" t="s">
        <v>122</v>
      </c>
      <c r="O106" s="8" t="str">
        <f>IF(ISNUMBER(SEARCH("cancel",[1]!Table1[[#This Row],[Status]])),"Cancelled",
IF(ISNUMBER(SEARCH("pend",[1]!Table1[[#This Row],[Status]])),"Pending","Completed"))</f>
        <v>Completed</v>
      </c>
    </row>
    <row r="107" spans="1:15" x14ac:dyDescent="0.3">
      <c r="A107" s="1" t="s">
        <v>151</v>
      </c>
      <c r="B107" s="2">
        <v>45706</v>
      </c>
      <c r="C107" s="3" t="str">
        <f>TEXT([1]!Table1[[#This Row],[Date]],"dddd")</f>
        <v>Sunday</v>
      </c>
      <c r="D107" s="3" t="s">
        <v>9</v>
      </c>
      <c r="E107" s="3">
        <v>2025</v>
      </c>
      <c r="F107" s="3" t="s">
        <v>19</v>
      </c>
      <c r="G107" s="3" t="s">
        <v>20</v>
      </c>
      <c r="H107" s="3" t="s">
        <v>21</v>
      </c>
      <c r="I107" s="3">
        <v>5</v>
      </c>
      <c r="J107" s="3">
        <v>600</v>
      </c>
      <c r="K107" s="3">
        <v>3000</v>
      </c>
      <c r="L107" s="3" t="s">
        <v>70</v>
      </c>
      <c r="M107" s="3" t="s">
        <v>41</v>
      </c>
      <c r="N107" s="3" t="s">
        <v>122</v>
      </c>
      <c r="O107" s="4" t="str">
        <f>IF(ISNUMBER(SEARCH("cancel",[1]!Table1[[#This Row],[Status]])),"Cancelled",
IF(ISNUMBER(SEARCH("pend",[1]!Table1[[#This Row],[Status]])),"Pending","Completed"))</f>
        <v>Completed</v>
      </c>
    </row>
    <row r="108" spans="1:15" x14ac:dyDescent="0.3">
      <c r="A108" s="5" t="s">
        <v>152</v>
      </c>
      <c r="B108" s="6">
        <v>45733</v>
      </c>
      <c r="C108" s="7" t="str">
        <f>TEXT([1]!Table1[[#This Row],[Date]],"dddd")</f>
        <v>Tuesday</v>
      </c>
      <c r="D108" s="7" t="s">
        <v>1</v>
      </c>
      <c r="E108" s="7">
        <v>2025</v>
      </c>
      <c r="F108" s="7" t="s">
        <v>19</v>
      </c>
      <c r="G108" s="7" t="s">
        <v>52</v>
      </c>
      <c r="H108" s="7" t="s">
        <v>77</v>
      </c>
      <c r="I108" s="7">
        <v>5</v>
      </c>
      <c r="J108" s="7">
        <v>40</v>
      </c>
      <c r="K108" s="7">
        <v>200</v>
      </c>
      <c r="L108" s="7" t="s">
        <v>5</v>
      </c>
      <c r="M108" s="7" t="s">
        <v>12</v>
      </c>
      <c r="N108" s="7" t="s">
        <v>122</v>
      </c>
      <c r="O108" s="8" t="str">
        <f>IF(ISNUMBER(SEARCH("cancel",[1]!Table1[[#This Row],[Status]])),"Cancelled",
IF(ISNUMBER(SEARCH("pend",[1]!Table1[[#This Row],[Status]])),"Pending","Completed"))</f>
        <v>Completed</v>
      </c>
    </row>
    <row r="109" spans="1:15" x14ac:dyDescent="0.3">
      <c r="A109" s="1" t="s">
        <v>153</v>
      </c>
      <c r="B109" s="2">
        <v>45747</v>
      </c>
      <c r="C109" s="3" t="str">
        <f>TEXT([1]!Table1[[#This Row],[Date]],"dddd")</f>
        <v>Monday</v>
      </c>
      <c r="D109" s="3" t="s">
        <v>1</v>
      </c>
      <c r="E109" s="3">
        <v>2025</v>
      </c>
      <c r="F109" s="3" t="s">
        <v>2</v>
      </c>
      <c r="G109" s="3" t="s">
        <v>15</v>
      </c>
      <c r="H109" s="3" t="s">
        <v>83</v>
      </c>
      <c r="I109" s="3">
        <v>4</v>
      </c>
      <c r="J109" s="3">
        <v>800</v>
      </c>
      <c r="K109" s="3">
        <v>3200</v>
      </c>
      <c r="L109" s="3" t="s">
        <v>56</v>
      </c>
      <c r="M109" s="3" t="s">
        <v>6</v>
      </c>
      <c r="N109" s="3" t="s">
        <v>122</v>
      </c>
      <c r="O109" s="4" t="str">
        <f>IF(ISNUMBER(SEARCH("cancel",[1]!Table1[[#This Row],[Status]])),"Cancelled",
IF(ISNUMBER(SEARCH("pend",[1]!Table1[[#This Row],[Status]])),"Pending","Completed"))</f>
        <v>Completed</v>
      </c>
    </row>
    <row r="110" spans="1:15" x14ac:dyDescent="0.3">
      <c r="A110" s="5" t="s">
        <v>154</v>
      </c>
      <c r="B110" s="6">
        <v>45737</v>
      </c>
      <c r="C110" s="7" t="str">
        <f>TEXT([1]!Table1[[#This Row],[Date]],"dddd")</f>
        <v>Monday</v>
      </c>
      <c r="D110" s="7" t="s">
        <v>1</v>
      </c>
      <c r="E110" s="7">
        <v>2025</v>
      </c>
      <c r="F110" s="7" t="s">
        <v>33</v>
      </c>
      <c r="G110" s="7" t="s">
        <v>3</v>
      </c>
      <c r="H110" s="7" t="s">
        <v>4</v>
      </c>
      <c r="I110" s="7">
        <v>3</v>
      </c>
      <c r="J110" s="7">
        <v>60</v>
      </c>
      <c r="K110" s="7">
        <v>180</v>
      </c>
      <c r="L110" s="7" t="s">
        <v>22</v>
      </c>
      <c r="M110" s="7" t="s">
        <v>6</v>
      </c>
      <c r="N110" s="7" t="s">
        <v>122</v>
      </c>
      <c r="O110" s="8" t="str">
        <f>IF(ISNUMBER(SEARCH("cancel",[1]!Table1[[#This Row],[Status]])),"Cancelled",
IF(ISNUMBER(SEARCH("pend",[1]!Table1[[#This Row],[Status]])),"Pending","Completed"))</f>
        <v>Completed</v>
      </c>
    </row>
    <row r="111" spans="1:15" x14ac:dyDescent="0.3">
      <c r="A111" s="1" t="s">
        <v>155</v>
      </c>
      <c r="B111" s="2">
        <v>45735</v>
      </c>
      <c r="C111" s="3" t="str">
        <f>TEXT([1]!Table1[[#This Row],[Date]],"dddd")</f>
        <v>Friday</v>
      </c>
      <c r="D111" s="3" t="s">
        <v>1</v>
      </c>
      <c r="E111" s="3">
        <v>2025</v>
      </c>
      <c r="F111" s="3" t="s">
        <v>2</v>
      </c>
      <c r="G111" s="3" t="s">
        <v>15</v>
      </c>
      <c r="H111" s="3" t="s">
        <v>83</v>
      </c>
      <c r="I111" s="3">
        <v>4</v>
      </c>
      <c r="J111" s="3">
        <v>800</v>
      </c>
      <c r="K111" s="3">
        <v>3200</v>
      </c>
      <c r="L111" s="3" t="s">
        <v>56</v>
      </c>
      <c r="M111" s="3" t="s">
        <v>12</v>
      </c>
      <c r="N111" s="3" t="s">
        <v>122</v>
      </c>
      <c r="O111" s="4" t="str">
        <f>IF(ISNUMBER(SEARCH("cancel",[1]!Table1[[#This Row],[Status]])),"Cancelled",
IF(ISNUMBER(SEARCH("pend",[1]!Table1[[#This Row],[Status]])),"Pending","Completed"))</f>
        <v>Completed</v>
      </c>
    </row>
    <row r="112" spans="1:15" x14ac:dyDescent="0.3">
      <c r="A112" s="5" t="s">
        <v>156</v>
      </c>
      <c r="B112" s="6">
        <v>45715</v>
      </c>
      <c r="C112" s="7" t="str">
        <f>TEXT([1]!Table1[[#This Row],[Date]],"dddd")</f>
        <v>Wednesday</v>
      </c>
      <c r="D112" s="7" t="s">
        <v>9</v>
      </c>
      <c r="E112" s="7">
        <v>2025</v>
      </c>
      <c r="F112" s="7" t="s">
        <v>60</v>
      </c>
      <c r="G112" s="7" t="s">
        <v>52</v>
      </c>
      <c r="H112" s="7" t="s">
        <v>53</v>
      </c>
      <c r="I112" s="7">
        <v>1</v>
      </c>
      <c r="J112" s="7">
        <v>20</v>
      </c>
      <c r="K112" s="7">
        <v>20</v>
      </c>
      <c r="L112" s="7" t="s">
        <v>5</v>
      </c>
      <c r="M112" s="7" t="s">
        <v>6</v>
      </c>
      <c r="N112" s="7" t="s">
        <v>122</v>
      </c>
      <c r="O112" s="8" t="str">
        <f>IF(ISNUMBER(SEARCH("cancel",[1]!Table1[[#This Row],[Status]])),"Cancelled",
IF(ISNUMBER(SEARCH("pend",[1]!Table1[[#This Row],[Status]])),"Pending","Completed"))</f>
        <v>Completed</v>
      </c>
    </row>
    <row r="113" spans="1:15" x14ac:dyDescent="0.3">
      <c r="A113" s="1" t="s">
        <v>157</v>
      </c>
      <c r="B113" s="2">
        <v>45698</v>
      </c>
      <c r="C113" s="3" t="str">
        <f>TEXT([1]!Table1[[#This Row],[Date]],"dddd")</f>
        <v>Thursday</v>
      </c>
      <c r="D113" s="3" t="s">
        <v>9</v>
      </c>
      <c r="E113" s="3">
        <v>2025</v>
      </c>
      <c r="F113" s="3" t="s">
        <v>10</v>
      </c>
      <c r="G113" s="3" t="s">
        <v>15</v>
      </c>
      <c r="H113" s="3" t="s">
        <v>29</v>
      </c>
      <c r="I113" s="3">
        <v>5</v>
      </c>
      <c r="J113" s="3">
        <v>100</v>
      </c>
      <c r="K113" s="3">
        <v>500</v>
      </c>
      <c r="L113" s="3" t="s">
        <v>50</v>
      </c>
      <c r="M113" s="3" t="s">
        <v>41</v>
      </c>
      <c r="N113" s="3" t="s">
        <v>122</v>
      </c>
      <c r="O113" s="4" t="str">
        <f>IF(ISNUMBER(SEARCH("cancel",[1]!Table1[[#This Row],[Status]])),"Cancelled",
IF(ISNUMBER(SEARCH("pend",[1]!Table1[[#This Row],[Status]])),"Pending","Completed"))</f>
        <v>Completed</v>
      </c>
    </row>
    <row r="114" spans="1:15" x14ac:dyDescent="0.3">
      <c r="A114" s="5" t="s">
        <v>158</v>
      </c>
      <c r="B114" s="6">
        <v>45704</v>
      </c>
      <c r="C114" s="7" t="str">
        <f>TEXT([1]!Table1[[#This Row],[Date]],"dddd")</f>
        <v>Monday</v>
      </c>
      <c r="D114" s="7" t="s">
        <v>9</v>
      </c>
      <c r="E114" s="7">
        <v>2025</v>
      </c>
      <c r="F114" s="7" t="s">
        <v>14</v>
      </c>
      <c r="G114" s="7" t="s">
        <v>15</v>
      </c>
      <c r="H114" s="7" t="s">
        <v>83</v>
      </c>
      <c r="I114" s="7">
        <v>5</v>
      </c>
      <c r="J114" s="7">
        <v>800</v>
      </c>
      <c r="K114" s="7">
        <v>4000</v>
      </c>
      <c r="L114" s="7" t="s">
        <v>11</v>
      </c>
      <c r="M114" s="7" t="s">
        <v>6</v>
      </c>
      <c r="N114" s="7" t="s">
        <v>122</v>
      </c>
      <c r="O114" s="8" t="str">
        <f>IF(ISNUMBER(SEARCH("cancel",[1]!Table1[[#This Row],[Status]])),"Cancelled",
IF(ISNUMBER(SEARCH("pend",[1]!Table1[[#This Row],[Status]])),"Pending","Completed"))</f>
        <v>Completed</v>
      </c>
    </row>
    <row r="115" spans="1:15" x14ac:dyDescent="0.3">
      <c r="A115" s="1" t="s">
        <v>159</v>
      </c>
      <c r="B115" s="2">
        <v>45711</v>
      </c>
      <c r="C115" s="3" t="str">
        <f>TEXT([1]!Table1[[#This Row],[Date]],"dddd")</f>
        <v>Sunday</v>
      </c>
      <c r="D115" s="3" t="s">
        <v>9</v>
      </c>
      <c r="E115" s="3">
        <v>2025</v>
      </c>
      <c r="F115" s="3" t="s">
        <v>14</v>
      </c>
      <c r="G115" s="3" t="s">
        <v>15</v>
      </c>
      <c r="H115" s="3" t="s">
        <v>16</v>
      </c>
      <c r="I115" s="3">
        <v>1</v>
      </c>
      <c r="J115" s="3">
        <v>500</v>
      </c>
      <c r="K115" s="3">
        <v>500</v>
      </c>
      <c r="L115" s="3" t="s">
        <v>11</v>
      </c>
      <c r="M115" s="3" t="s">
        <v>26</v>
      </c>
      <c r="N115" s="3" t="s">
        <v>122</v>
      </c>
      <c r="O115" s="4" t="str">
        <f>IF(ISNUMBER(SEARCH("cancel",[1]!Table1[[#This Row],[Status]])),"Cancelled",
IF(ISNUMBER(SEARCH("pend",[1]!Table1[[#This Row],[Status]])),"Pending","Completed"))</f>
        <v>Completed</v>
      </c>
    </row>
    <row r="116" spans="1:15" x14ac:dyDescent="0.3">
      <c r="A116" s="5" t="s">
        <v>160</v>
      </c>
      <c r="B116" s="6">
        <v>45706</v>
      </c>
      <c r="C116" s="7" t="str">
        <f>TEXT([1]!Table1[[#This Row],[Date]],"dddd")</f>
        <v>Sunday</v>
      </c>
      <c r="D116" s="7" t="s">
        <v>9</v>
      </c>
      <c r="E116" s="7">
        <v>2025</v>
      </c>
      <c r="F116" s="7" t="s">
        <v>2</v>
      </c>
      <c r="G116" s="7" t="s">
        <v>52</v>
      </c>
      <c r="H116" s="7" t="s">
        <v>53</v>
      </c>
      <c r="I116" s="7">
        <v>3</v>
      </c>
      <c r="J116" s="7">
        <v>20</v>
      </c>
      <c r="K116" s="7">
        <v>60</v>
      </c>
      <c r="L116" s="7" t="s">
        <v>31</v>
      </c>
      <c r="M116" s="7" t="s">
        <v>41</v>
      </c>
      <c r="N116" s="7" t="s">
        <v>122</v>
      </c>
      <c r="O116" s="8" t="str">
        <f>IF(ISNUMBER(SEARCH("cancel",[1]!Table1[[#This Row],[Status]])),"Cancelled",
IF(ISNUMBER(SEARCH("pend",[1]!Table1[[#This Row],[Status]])),"Pending","Completed"))</f>
        <v>Completed</v>
      </c>
    </row>
    <row r="117" spans="1:15" x14ac:dyDescent="0.3">
      <c r="A117" s="1" t="s">
        <v>161</v>
      </c>
      <c r="B117" s="2">
        <v>45698</v>
      </c>
      <c r="C117" s="3" t="str">
        <f>TEXT([1]!Table1[[#This Row],[Date]],"dddd")</f>
        <v>Tuesday</v>
      </c>
      <c r="D117" s="3" t="s">
        <v>9</v>
      </c>
      <c r="E117" s="3">
        <v>2025</v>
      </c>
      <c r="F117" s="3" t="s">
        <v>49</v>
      </c>
      <c r="G117" s="3" t="s">
        <v>15</v>
      </c>
      <c r="H117" s="3" t="s">
        <v>61</v>
      </c>
      <c r="I117" s="3">
        <v>5</v>
      </c>
      <c r="J117" s="3">
        <v>150</v>
      </c>
      <c r="K117" s="3">
        <v>750</v>
      </c>
      <c r="L117" s="3" t="s">
        <v>25</v>
      </c>
      <c r="M117" s="3" t="s">
        <v>26</v>
      </c>
      <c r="N117" s="3" t="s">
        <v>122</v>
      </c>
      <c r="O117" s="4" t="str">
        <f>IF(ISNUMBER(SEARCH("cancel",[1]!Table1[[#This Row],[Status]])),"Cancelled",
IF(ISNUMBER(SEARCH("pend",[1]!Table1[[#This Row],[Status]])),"Pending","Completed"))</f>
        <v>Completed</v>
      </c>
    </row>
    <row r="118" spans="1:15" x14ac:dyDescent="0.3">
      <c r="A118" s="5" t="s">
        <v>162</v>
      </c>
      <c r="B118" s="6">
        <v>45736</v>
      </c>
      <c r="C118" s="7" t="str">
        <f>TEXT([1]!Table1[[#This Row],[Date]],"dddd")</f>
        <v>Monday</v>
      </c>
      <c r="D118" s="7" t="s">
        <v>1</v>
      </c>
      <c r="E118" s="7">
        <v>2025</v>
      </c>
      <c r="F118" s="7" t="s">
        <v>35</v>
      </c>
      <c r="G118" s="7" t="s">
        <v>15</v>
      </c>
      <c r="H118" s="7" t="s">
        <v>61</v>
      </c>
      <c r="I118" s="7">
        <v>3</v>
      </c>
      <c r="J118" s="7">
        <v>150</v>
      </c>
      <c r="K118" s="7">
        <v>450</v>
      </c>
      <c r="L118" s="7" t="s">
        <v>17</v>
      </c>
      <c r="M118" s="7" t="s">
        <v>26</v>
      </c>
      <c r="N118" s="7" t="s">
        <v>122</v>
      </c>
      <c r="O118" s="8" t="str">
        <f>IF(ISNUMBER(SEARCH("cancel",[1]!Table1[[#This Row],[Status]])),"Cancelled",
IF(ISNUMBER(SEARCH("pend",[1]!Table1[[#This Row],[Status]])),"Pending","Completed"))</f>
        <v>Completed</v>
      </c>
    </row>
    <row r="119" spans="1:15" x14ac:dyDescent="0.3">
      <c r="A119" s="1" t="s">
        <v>163</v>
      </c>
      <c r="B119" s="2">
        <v>45735</v>
      </c>
      <c r="C119" s="3" t="str">
        <f>TEXT([1]!Table1[[#This Row],[Date]],"dddd")</f>
        <v>Thursday</v>
      </c>
      <c r="D119" s="3" t="s">
        <v>1</v>
      </c>
      <c r="E119" s="3">
        <v>2025</v>
      </c>
      <c r="F119" s="3" t="s">
        <v>33</v>
      </c>
      <c r="G119" s="3" t="s">
        <v>15</v>
      </c>
      <c r="H119" s="3" t="s">
        <v>61</v>
      </c>
      <c r="I119" s="3">
        <v>2</v>
      </c>
      <c r="J119" s="3">
        <v>150</v>
      </c>
      <c r="K119" s="3">
        <v>300</v>
      </c>
      <c r="L119" s="3" t="s">
        <v>22</v>
      </c>
      <c r="M119" s="3" t="s">
        <v>41</v>
      </c>
      <c r="N119" s="3" t="s">
        <v>122</v>
      </c>
      <c r="O119" s="4" t="str">
        <f>IF(ISNUMBER(SEARCH("cancel",[1]!Table1[[#This Row],[Status]])),"Cancelled",
IF(ISNUMBER(SEARCH("pend",[1]!Table1[[#This Row],[Status]])),"Pending","Completed"))</f>
        <v>Completed</v>
      </c>
    </row>
    <row r="120" spans="1:15" x14ac:dyDescent="0.3">
      <c r="A120" s="5" t="s">
        <v>164</v>
      </c>
      <c r="B120" s="6">
        <v>45737</v>
      </c>
      <c r="C120" s="7" t="str">
        <f>TEXT([1]!Table1[[#This Row],[Date]],"dddd")</f>
        <v>Wednesday</v>
      </c>
      <c r="D120" s="7" t="s">
        <v>1</v>
      </c>
      <c r="E120" s="7">
        <v>2025</v>
      </c>
      <c r="F120" s="7" t="s">
        <v>10</v>
      </c>
      <c r="G120" s="7" t="s">
        <v>15</v>
      </c>
      <c r="H120" s="7" t="s">
        <v>16</v>
      </c>
      <c r="I120" s="7">
        <v>2</v>
      </c>
      <c r="J120" s="7">
        <v>500</v>
      </c>
      <c r="K120" s="7">
        <v>1000</v>
      </c>
      <c r="L120" s="7" t="s">
        <v>22</v>
      </c>
      <c r="M120" s="7" t="s">
        <v>36</v>
      </c>
      <c r="N120" s="7" t="s">
        <v>122</v>
      </c>
      <c r="O120" s="8" t="str">
        <f>IF(ISNUMBER(SEARCH("cancel",[1]!Table1[[#This Row],[Status]])),"Cancelled",
IF(ISNUMBER(SEARCH("pend",[1]!Table1[[#This Row],[Status]])),"Pending","Completed"))</f>
        <v>Completed</v>
      </c>
    </row>
    <row r="121" spans="1:15" x14ac:dyDescent="0.3">
      <c r="A121" s="1" t="s">
        <v>165</v>
      </c>
      <c r="B121" s="2">
        <v>45731</v>
      </c>
      <c r="C121" s="3" t="str">
        <f>TEXT([1]!Table1[[#This Row],[Date]],"dddd")</f>
        <v>Friday</v>
      </c>
      <c r="D121" s="3" t="s">
        <v>1</v>
      </c>
      <c r="E121" s="3">
        <v>2025</v>
      </c>
      <c r="F121" s="3" t="s">
        <v>35</v>
      </c>
      <c r="G121" s="3" t="s">
        <v>15</v>
      </c>
      <c r="H121" s="3" t="s">
        <v>16</v>
      </c>
      <c r="I121" s="3">
        <v>3</v>
      </c>
      <c r="J121" s="3">
        <v>500</v>
      </c>
      <c r="K121" s="3">
        <v>1500</v>
      </c>
      <c r="L121" s="3" t="s">
        <v>22</v>
      </c>
      <c r="M121" s="3" t="s">
        <v>26</v>
      </c>
      <c r="N121" s="3" t="s">
        <v>122</v>
      </c>
      <c r="O121" s="4" t="str">
        <f>IF(ISNUMBER(SEARCH("cancel",[1]!Table1[[#This Row],[Status]])),"Cancelled",
IF(ISNUMBER(SEARCH("pend",[1]!Table1[[#This Row],[Status]])),"Pending","Completed"))</f>
        <v>Completed</v>
      </c>
    </row>
    <row r="122" spans="1:15" x14ac:dyDescent="0.3">
      <c r="A122" s="5" t="s">
        <v>166</v>
      </c>
      <c r="B122" s="6">
        <v>45741</v>
      </c>
      <c r="C122" s="7" t="str">
        <f>TEXT([1]!Table1[[#This Row],[Date]],"dddd")</f>
        <v>Saturday</v>
      </c>
      <c r="D122" s="7" t="s">
        <v>1</v>
      </c>
      <c r="E122" s="7">
        <v>2025</v>
      </c>
      <c r="F122" s="7" t="s">
        <v>2</v>
      </c>
      <c r="G122" s="7" t="s">
        <v>15</v>
      </c>
      <c r="H122" s="7" t="s">
        <v>61</v>
      </c>
      <c r="I122" s="7">
        <v>2</v>
      </c>
      <c r="J122" s="7">
        <v>150</v>
      </c>
      <c r="K122" s="7">
        <v>300</v>
      </c>
      <c r="L122" s="7" t="s">
        <v>25</v>
      </c>
      <c r="M122" s="7" t="s">
        <v>36</v>
      </c>
      <c r="N122" s="7" t="s">
        <v>122</v>
      </c>
      <c r="O122" s="8" t="str">
        <f>IF(ISNUMBER(SEARCH("cancel",[1]!Table1[[#This Row],[Status]])),"Cancelled",
IF(ISNUMBER(SEARCH("pend",[1]!Table1[[#This Row],[Status]])),"Pending","Completed"))</f>
        <v>Completed</v>
      </c>
    </row>
    <row r="123" spans="1:15" x14ac:dyDescent="0.3">
      <c r="A123" s="1" t="s">
        <v>167</v>
      </c>
      <c r="B123" s="2">
        <v>45716</v>
      </c>
      <c r="C123" s="3" t="str">
        <f>TEXT([1]!Table1[[#This Row],[Date]],"dddd")</f>
        <v>Tuesday</v>
      </c>
      <c r="D123" s="3" t="s">
        <v>9</v>
      </c>
      <c r="E123" s="3">
        <v>2025</v>
      </c>
      <c r="F123" s="3" t="s">
        <v>10</v>
      </c>
      <c r="G123" s="3" t="s">
        <v>15</v>
      </c>
      <c r="H123" s="3" t="s">
        <v>61</v>
      </c>
      <c r="I123" s="3">
        <v>1</v>
      </c>
      <c r="J123" s="3">
        <v>150</v>
      </c>
      <c r="K123" s="3">
        <v>150</v>
      </c>
      <c r="L123" s="3" t="s">
        <v>70</v>
      </c>
      <c r="M123" s="3" t="s">
        <v>26</v>
      </c>
      <c r="N123" s="3" t="s">
        <v>122</v>
      </c>
      <c r="O123" s="4" t="str">
        <f>IF(ISNUMBER(SEARCH("cancel",[1]!Table1[[#This Row],[Status]])),"Cancelled",
IF(ISNUMBER(SEARCH("pend",[1]!Table1[[#This Row],[Status]])),"Pending","Completed"))</f>
        <v>Completed</v>
      </c>
    </row>
    <row r="124" spans="1:15" x14ac:dyDescent="0.3">
      <c r="A124" s="5" t="s">
        <v>168</v>
      </c>
      <c r="B124" s="6">
        <v>45717</v>
      </c>
      <c r="C124" s="7" t="str">
        <f>TEXT([1]!Table1[[#This Row],[Date]],"dddd")</f>
        <v>Friday</v>
      </c>
      <c r="D124" s="7" t="s">
        <v>1</v>
      </c>
      <c r="E124" s="7">
        <v>2025</v>
      </c>
      <c r="F124" s="7" t="s">
        <v>10</v>
      </c>
      <c r="G124" s="7" t="s">
        <v>15</v>
      </c>
      <c r="H124" s="7" t="s">
        <v>29</v>
      </c>
      <c r="I124" s="7">
        <v>2</v>
      </c>
      <c r="J124" s="7">
        <v>100</v>
      </c>
      <c r="K124" s="7">
        <v>200</v>
      </c>
      <c r="L124" s="7" t="s">
        <v>11</v>
      </c>
      <c r="M124" s="7" t="s">
        <v>12</v>
      </c>
      <c r="N124" s="7" t="s">
        <v>122</v>
      </c>
      <c r="O124" s="8" t="str">
        <f>IF(ISNUMBER(SEARCH("cancel",[1]!Table1[[#This Row],[Status]])),"Cancelled",
IF(ISNUMBER(SEARCH("pend",[1]!Table1[[#This Row],[Status]])),"Pending","Completed"))</f>
        <v>Completed</v>
      </c>
    </row>
    <row r="125" spans="1:15" x14ac:dyDescent="0.3">
      <c r="A125" s="1" t="s">
        <v>169</v>
      </c>
      <c r="B125" s="2">
        <v>45710</v>
      </c>
      <c r="C125" s="3" t="str">
        <f>TEXT([1]!Table1[[#This Row],[Date]],"dddd")</f>
        <v>Saturday</v>
      </c>
      <c r="D125" s="3" t="s">
        <v>9</v>
      </c>
      <c r="E125" s="3">
        <v>2025</v>
      </c>
      <c r="F125" s="3" t="s">
        <v>14</v>
      </c>
      <c r="G125" s="3" t="s">
        <v>15</v>
      </c>
      <c r="H125" s="3" t="s">
        <v>29</v>
      </c>
      <c r="I125" s="3">
        <v>1</v>
      </c>
      <c r="J125" s="3">
        <v>100</v>
      </c>
      <c r="K125" s="3">
        <v>100</v>
      </c>
      <c r="L125" s="3" t="s">
        <v>56</v>
      </c>
      <c r="M125" s="3" t="s">
        <v>12</v>
      </c>
      <c r="N125" s="3" t="s">
        <v>122</v>
      </c>
      <c r="O125" s="4" t="str">
        <f>IF(ISNUMBER(SEARCH("cancel",[1]!Table1[[#This Row],[Status]])),"Cancelled",
IF(ISNUMBER(SEARCH("pend",[1]!Table1[[#This Row],[Status]])),"Pending","Completed"))</f>
        <v>Completed</v>
      </c>
    </row>
    <row r="126" spans="1:15" x14ac:dyDescent="0.3">
      <c r="A126" s="5" t="s">
        <v>170</v>
      </c>
      <c r="B126" s="6">
        <v>45697</v>
      </c>
      <c r="C126" s="7" t="str">
        <f>TEXT([1]!Table1[[#This Row],[Date]],"dddd")</f>
        <v>Saturday</v>
      </c>
      <c r="D126" s="7" t="s">
        <v>9</v>
      </c>
      <c r="E126" s="7">
        <v>2025</v>
      </c>
      <c r="F126" s="7" t="s">
        <v>33</v>
      </c>
      <c r="G126" s="7" t="s">
        <v>15</v>
      </c>
      <c r="H126" s="7" t="s">
        <v>16</v>
      </c>
      <c r="I126" s="7">
        <v>2</v>
      </c>
      <c r="J126" s="7">
        <v>500</v>
      </c>
      <c r="K126" s="7">
        <v>1000</v>
      </c>
      <c r="L126" s="7" t="s">
        <v>47</v>
      </c>
      <c r="M126" s="7" t="s">
        <v>41</v>
      </c>
      <c r="N126" s="7" t="s">
        <v>122</v>
      </c>
      <c r="O126" s="8" t="str">
        <f>IF(ISNUMBER(SEARCH("cancel",[1]!Table1[[#This Row],[Status]])),"Cancelled",
IF(ISNUMBER(SEARCH("pend",[1]!Table1[[#This Row],[Status]])),"Pending","Completed"))</f>
        <v>Completed</v>
      </c>
    </row>
    <row r="127" spans="1:15" x14ac:dyDescent="0.3">
      <c r="A127" s="1" t="s">
        <v>171</v>
      </c>
      <c r="B127" s="2">
        <v>45708</v>
      </c>
      <c r="C127" s="3" t="str">
        <f>TEXT([1]!Table1[[#This Row],[Date]],"dddd")</f>
        <v>Sunday</v>
      </c>
      <c r="D127" s="3" t="s">
        <v>9</v>
      </c>
      <c r="E127" s="3">
        <v>2025</v>
      </c>
      <c r="F127" s="3" t="s">
        <v>28</v>
      </c>
      <c r="G127" s="3" t="s">
        <v>3</v>
      </c>
      <c r="H127" s="3" t="s">
        <v>4</v>
      </c>
      <c r="I127" s="3">
        <v>2</v>
      </c>
      <c r="J127" s="3">
        <v>60</v>
      </c>
      <c r="K127" s="3">
        <v>120</v>
      </c>
      <c r="L127" s="3" t="s">
        <v>50</v>
      </c>
      <c r="M127" s="3" t="s">
        <v>12</v>
      </c>
      <c r="N127" s="3" t="s">
        <v>122</v>
      </c>
      <c r="O127" s="4" t="str">
        <f>IF(ISNUMBER(SEARCH("cancel",[1]!Table1[[#This Row],[Status]])),"Cancelled",
IF(ISNUMBER(SEARCH("pend",[1]!Table1[[#This Row],[Status]])),"Pending","Completed"))</f>
        <v>Completed</v>
      </c>
    </row>
    <row r="128" spans="1:15" x14ac:dyDescent="0.3">
      <c r="A128" s="5" t="s">
        <v>172</v>
      </c>
      <c r="B128" s="6">
        <v>45736</v>
      </c>
      <c r="C128" s="7" t="str">
        <f>TEXT([1]!Table1[[#This Row],[Date]],"dddd")</f>
        <v>Thursday</v>
      </c>
      <c r="D128" s="7" t="s">
        <v>1</v>
      </c>
      <c r="E128" s="7">
        <v>2025</v>
      </c>
      <c r="F128" s="7" t="s">
        <v>33</v>
      </c>
      <c r="G128" s="7" t="s">
        <v>20</v>
      </c>
      <c r="H128" s="7" t="s">
        <v>24</v>
      </c>
      <c r="I128" s="7">
        <v>2</v>
      </c>
      <c r="J128" s="7">
        <v>1200</v>
      </c>
      <c r="K128" s="7">
        <v>2400</v>
      </c>
      <c r="L128" s="7" t="s">
        <v>70</v>
      </c>
      <c r="M128" s="7" t="s">
        <v>41</v>
      </c>
      <c r="N128" s="7" t="s">
        <v>122</v>
      </c>
      <c r="O128" s="8" t="str">
        <f>IF(ISNUMBER(SEARCH("cancel",[1]!Table1[[#This Row],[Status]])),"Cancelled",
IF(ISNUMBER(SEARCH("pend",[1]!Table1[[#This Row],[Status]])),"Pending","Completed"))</f>
        <v>Completed</v>
      </c>
    </row>
    <row r="129" spans="1:15" x14ac:dyDescent="0.3">
      <c r="A129" s="1" t="s">
        <v>173</v>
      </c>
      <c r="B129" s="2">
        <v>45722</v>
      </c>
      <c r="C129" s="3" t="str">
        <f>TEXT([1]!Table1[[#This Row],[Date]],"dddd")</f>
        <v>Thursday</v>
      </c>
      <c r="D129" s="3" t="s">
        <v>1</v>
      </c>
      <c r="E129" s="3">
        <v>2025</v>
      </c>
      <c r="F129" s="3" t="s">
        <v>10</v>
      </c>
      <c r="G129" s="3" t="s">
        <v>20</v>
      </c>
      <c r="H129" s="3" t="s">
        <v>24</v>
      </c>
      <c r="I129" s="3">
        <v>2</v>
      </c>
      <c r="J129" s="3">
        <v>1200</v>
      </c>
      <c r="K129" s="3">
        <v>2400</v>
      </c>
      <c r="L129" s="3" t="s">
        <v>11</v>
      </c>
      <c r="M129" s="3" t="s">
        <v>41</v>
      </c>
      <c r="N129" s="3" t="s">
        <v>122</v>
      </c>
      <c r="O129" s="4" t="str">
        <f>IF(ISNUMBER(SEARCH("cancel",[1]!Table1[[#This Row],[Status]])),"Cancelled",
IF(ISNUMBER(SEARCH("pend",[1]!Table1[[#This Row],[Status]])),"Pending","Completed"))</f>
        <v>Completed</v>
      </c>
    </row>
    <row r="130" spans="1:15" x14ac:dyDescent="0.3">
      <c r="A130" s="5" t="s">
        <v>174</v>
      </c>
      <c r="B130" s="6">
        <v>45716</v>
      </c>
      <c r="C130" s="7" t="str">
        <f>TEXT([1]!Table1[[#This Row],[Date]],"dddd")</f>
        <v>Thursday</v>
      </c>
      <c r="D130" s="7" t="s">
        <v>9</v>
      </c>
      <c r="E130" s="7">
        <v>2025</v>
      </c>
      <c r="F130" s="7" t="s">
        <v>60</v>
      </c>
      <c r="G130" s="7" t="s">
        <v>15</v>
      </c>
      <c r="H130" s="7" t="s">
        <v>61</v>
      </c>
      <c r="I130" s="7">
        <v>2</v>
      </c>
      <c r="J130" s="7">
        <v>150</v>
      </c>
      <c r="K130" s="7">
        <v>300</v>
      </c>
      <c r="L130" s="7" t="s">
        <v>50</v>
      </c>
      <c r="M130" s="7" t="s">
        <v>41</v>
      </c>
      <c r="N130" s="7" t="s">
        <v>122</v>
      </c>
      <c r="O130" s="8" t="str">
        <f>IF(ISNUMBER(SEARCH("cancel",[1]!Table1[[#This Row],[Status]])),"Cancelled",
IF(ISNUMBER(SEARCH("pend",[1]!Table1[[#This Row],[Status]])),"Pending","Completed"))</f>
        <v>Completed</v>
      </c>
    </row>
    <row r="131" spans="1:15" x14ac:dyDescent="0.3">
      <c r="A131" s="1" t="s">
        <v>175</v>
      </c>
      <c r="B131" s="2">
        <v>45716</v>
      </c>
      <c r="C131" s="3" t="str">
        <f>TEXT([1]!Table1[[#This Row],[Date]],"dddd")</f>
        <v>Friday</v>
      </c>
      <c r="D131" s="3" t="s">
        <v>9</v>
      </c>
      <c r="E131" s="3">
        <v>2025</v>
      </c>
      <c r="F131" s="3" t="s">
        <v>33</v>
      </c>
      <c r="G131" s="3" t="s">
        <v>20</v>
      </c>
      <c r="H131" s="3" t="s">
        <v>24</v>
      </c>
      <c r="I131" s="3">
        <v>1</v>
      </c>
      <c r="J131" s="3">
        <v>1200</v>
      </c>
      <c r="K131" s="3">
        <v>1200</v>
      </c>
      <c r="L131" s="3" t="s">
        <v>70</v>
      </c>
      <c r="M131" s="3" t="s">
        <v>6</v>
      </c>
      <c r="N131" s="3" t="s">
        <v>122</v>
      </c>
      <c r="O131" s="4" t="str">
        <f>IF(ISNUMBER(SEARCH("cancel",[1]!Table1[[#This Row],[Status]])),"Cancelled",
IF(ISNUMBER(SEARCH("pend",[1]!Table1[[#This Row],[Status]])),"Pending","Completed"))</f>
        <v>Completed</v>
      </c>
    </row>
    <row r="132" spans="1:15" x14ac:dyDescent="0.3">
      <c r="A132" s="5" t="s">
        <v>176</v>
      </c>
      <c r="B132" s="6">
        <v>45743</v>
      </c>
      <c r="C132" s="7" t="str">
        <f>TEXT([1]!Table1[[#This Row],[Date]],"dddd")</f>
        <v>Friday</v>
      </c>
      <c r="D132" s="7" t="s">
        <v>1</v>
      </c>
      <c r="E132" s="7">
        <v>2025</v>
      </c>
      <c r="F132" s="7" t="s">
        <v>19</v>
      </c>
      <c r="G132" s="7" t="s">
        <v>39</v>
      </c>
      <c r="H132" s="7" t="s">
        <v>40</v>
      </c>
      <c r="I132" s="7">
        <v>1</v>
      </c>
      <c r="J132" s="7">
        <v>15</v>
      </c>
      <c r="K132" s="7">
        <v>15</v>
      </c>
      <c r="L132" s="7" t="s">
        <v>25</v>
      </c>
      <c r="M132" s="7" t="s">
        <v>41</v>
      </c>
      <c r="N132" s="7" t="s">
        <v>122</v>
      </c>
      <c r="O132" s="8" t="str">
        <f>IF(ISNUMBER(SEARCH("cancel",[1]!Table1[[#This Row],[Status]])),"Cancelled",
IF(ISNUMBER(SEARCH("pend",[1]!Table1[[#This Row],[Status]])),"Pending","Completed"))</f>
        <v>Completed</v>
      </c>
    </row>
    <row r="133" spans="1:15" x14ac:dyDescent="0.3">
      <c r="A133" s="1" t="s">
        <v>177</v>
      </c>
      <c r="B133" s="2">
        <v>45694</v>
      </c>
      <c r="C133" s="3" t="str">
        <f>TEXT([1]!Table1[[#This Row],[Date]],"dddd")</f>
        <v>Thursday</v>
      </c>
      <c r="D133" s="3" t="s">
        <v>9</v>
      </c>
      <c r="E133" s="3">
        <v>2025</v>
      </c>
      <c r="F133" s="3" t="s">
        <v>14</v>
      </c>
      <c r="G133" s="3" t="s">
        <v>15</v>
      </c>
      <c r="H133" s="3" t="s">
        <v>16</v>
      </c>
      <c r="I133" s="3">
        <v>3</v>
      </c>
      <c r="J133" s="3">
        <v>500</v>
      </c>
      <c r="K133" s="3">
        <v>1500</v>
      </c>
      <c r="L133" s="3" t="s">
        <v>47</v>
      </c>
      <c r="M133" s="3" t="s">
        <v>36</v>
      </c>
      <c r="N133" s="3" t="s">
        <v>122</v>
      </c>
      <c r="O133" s="4" t="str">
        <f>IF(ISNUMBER(SEARCH("cancel",[1]!Table1[[#This Row],[Status]])),"Cancelled",
IF(ISNUMBER(SEARCH("pend",[1]!Table1[[#This Row],[Status]])),"Pending","Completed"))</f>
        <v>Completed</v>
      </c>
    </row>
    <row r="134" spans="1:15" x14ac:dyDescent="0.3">
      <c r="A134" s="5" t="s">
        <v>178</v>
      </c>
      <c r="B134" s="6">
        <v>45720</v>
      </c>
      <c r="C134" s="7" t="str">
        <f>TEXT([1]!Table1[[#This Row],[Date]],"dddd")</f>
        <v>Thursday</v>
      </c>
      <c r="D134" s="7" t="s">
        <v>1</v>
      </c>
      <c r="E134" s="7">
        <v>2025</v>
      </c>
      <c r="F134" s="7" t="s">
        <v>49</v>
      </c>
      <c r="G134" s="7" t="s">
        <v>20</v>
      </c>
      <c r="H134" s="7" t="s">
        <v>24</v>
      </c>
      <c r="I134" s="7">
        <v>3</v>
      </c>
      <c r="J134" s="7">
        <v>1200</v>
      </c>
      <c r="K134" s="7">
        <v>3600</v>
      </c>
      <c r="L134" s="7" t="s">
        <v>25</v>
      </c>
      <c r="M134" s="7" t="s">
        <v>41</v>
      </c>
      <c r="N134" s="7" t="s">
        <v>122</v>
      </c>
      <c r="O134" s="8" t="str">
        <f>IF(ISNUMBER(SEARCH("cancel",[1]!Table1[[#This Row],[Status]])),"Cancelled",
IF(ISNUMBER(SEARCH("pend",[1]!Table1[[#This Row],[Status]])),"Pending","Completed"))</f>
        <v>Completed</v>
      </c>
    </row>
    <row r="135" spans="1:15" x14ac:dyDescent="0.3">
      <c r="A135" s="1" t="s">
        <v>179</v>
      </c>
      <c r="B135" s="2">
        <v>45749</v>
      </c>
      <c r="C135" s="3" t="str">
        <f>TEXT([1]!Table1[[#This Row],[Date]],"dddd")</f>
        <v>Tuesday</v>
      </c>
      <c r="D135" s="3" t="s">
        <v>59</v>
      </c>
      <c r="E135" s="3">
        <v>2025</v>
      </c>
      <c r="F135" s="3" t="s">
        <v>2</v>
      </c>
      <c r="G135" s="3" t="s">
        <v>52</v>
      </c>
      <c r="H135" s="3" t="s">
        <v>53</v>
      </c>
      <c r="I135" s="3">
        <v>5</v>
      </c>
      <c r="J135" s="3">
        <v>20</v>
      </c>
      <c r="K135" s="3">
        <v>100</v>
      </c>
      <c r="L135" s="3" t="s">
        <v>11</v>
      </c>
      <c r="M135" s="3" t="s">
        <v>26</v>
      </c>
      <c r="N135" s="3" t="s">
        <v>122</v>
      </c>
      <c r="O135" s="4" t="str">
        <f>IF(ISNUMBER(SEARCH("cancel",[1]!Table1[[#This Row],[Status]])),"Cancelled",
IF(ISNUMBER(SEARCH("pend",[1]!Table1[[#This Row],[Status]])),"Pending","Completed"))</f>
        <v>Completed</v>
      </c>
    </row>
    <row r="136" spans="1:15" x14ac:dyDescent="0.3">
      <c r="A136" s="5" t="s">
        <v>180</v>
      </c>
      <c r="B136" s="6">
        <v>45738</v>
      </c>
      <c r="C136" s="7" t="str">
        <f>TEXT([1]!Table1[[#This Row],[Date]],"dddd")</f>
        <v>Wednesday</v>
      </c>
      <c r="D136" s="7" t="s">
        <v>1</v>
      </c>
      <c r="E136" s="7">
        <v>2025</v>
      </c>
      <c r="F136" s="7" t="s">
        <v>28</v>
      </c>
      <c r="G136" s="7" t="s">
        <v>52</v>
      </c>
      <c r="H136" s="7" t="s">
        <v>53</v>
      </c>
      <c r="I136" s="7">
        <v>1</v>
      </c>
      <c r="J136" s="7">
        <v>20</v>
      </c>
      <c r="K136" s="7">
        <v>20</v>
      </c>
      <c r="L136" s="7" t="s">
        <v>31</v>
      </c>
      <c r="M136" s="7" t="s">
        <v>41</v>
      </c>
      <c r="N136" s="7" t="s">
        <v>122</v>
      </c>
      <c r="O136" s="8" t="str">
        <f>IF(ISNUMBER(SEARCH("cancel",[1]!Table1[[#This Row],[Status]])),"Cancelled",
IF(ISNUMBER(SEARCH("pend",[1]!Table1[[#This Row],[Status]])),"Pending","Completed"))</f>
        <v>Completed</v>
      </c>
    </row>
    <row r="137" spans="1:15" x14ac:dyDescent="0.3">
      <c r="A137" s="1" t="s">
        <v>181</v>
      </c>
      <c r="B137" s="2">
        <v>45718</v>
      </c>
      <c r="C137" s="3" t="str">
        <f>TEXT([1]!Table1[[#This Row],[Date]],"dddd")</f>
        <v>Saturday</v>
      </c>
      <c r="D137" s="3" t="s">
        <v>1</v>
      </c>
      <c r="E137" s="3">
        <v>2025</v>
      </c>
      <c r="F137" s="3" t="s">
        <v>19</v>
      </c>
      <c r="G137" s="3" t="s">
        <v>20</v>
      </c>
      <c r="H137" s="3" t="s">
        <v>21</v>
      </c>
      <c r="I137" s="3">
        <v>4</v>
      </c>
      <c r="J137" s="3">
        <v>600</v>
      </c>
      <c r="K137" s="3">
        <v>2400</v>
      </c>
      <c r="L137" s="3" t="s">
        <v>5</v>
      </c>
      <c r="M137" s="3" t="s">
        <v>6</v>
      </c>
      <c r="N137" s="3" t="s">
        <v>122</v>
      </c>
      <c r="O137" s="4" t="str">
        <f>IF(ISNUMBER(SEARCH("cancel",[1]!Table1[[#This Row],[Status]])),"Cancelled",
IF(ISNUMBER(SEARCH("pend",[1]!Table1[[#This Row],[Status]])),"Pending","Completed"))</f>
        <v>Completed</v>
      </c>
    </row>
    <row r="138" spans="1:15" x14ac:dyDescent="0.3">
      <c r="A138" s="5" t="s">
        <v>182</v>
      </c>
      <c r="B138" s="6">
        <v>45702</v>
      </c>
      <c r="C138" s="7" t="str">
        <f>TEXT([1]!Table1[[#This Row],[Date]],"dddd")</f>
        <v>Sunday</v>
      </c>
      <c r="D138" s="7" t="s">
        <v>9</v>
      </c>
      <c r="E138" s="7">
        <v>2025</v>
      </c>
      <c r="F138" s="7" t="s">
        <v>10</v>
      </c>
      <c r="G138" s="7" t="s">
        <v>39</v>
      </c>
      <c r="H138" s="7" t="s">
        <v>40</v>
      </c>
      <c r="I138" s="7">
        <v>1</v>
      </c>
      <c r="J138" s="7">
        <v>15</v>
      </c>
      <c r="K138" s="7">
        <v>15</v>
      </c>
      <c r="L138" s="7" t="s">
        <v>25</v>
      </c>
      <c r="M138" s="7" t="s">
        <v>6</v>
      </c>
      <c r="N138" s="7" t="s">
        <v>122</v>
      </c>
      <c r="O138" s="8" t="str">
        <f>IF(ISNUMBER(SEARCH("cancel",[1]!Table1[[#This Row],[Status]])),"Cancelled",
IF(ISNUMBER(SEARCH("pend",[1]!Table1[[#This Row],[Status]])),"Pending","Completed"))</f>
        <v>Completed</v>
      </c>
    </row>
    <row r="139" spans="1:15" x14ac:dyDescent="0.3">
      <c r="A139" s="1" t="s">
        <v>183</v>
      </c>
      <c r="B139" s="2">
        <v>45698</v>
      </c>
      <c r="C139" s="3" t="str">
        <f>TEXT([1]!Table1[[#This Row],[Date]],"dddd")</f>
        <v>Friday</v>
      </c>
      <c r="D139" s="3" t="s">
        <v>9</v>
      </c>
      <c r="E139" s="3">
        <v>2025</v>
      </c>
      <c r="F139" s="3" t="s">
        <v>45</v>
      </c>
      <c r="G139" s="3" t="s">
        <v>15</v>
      </c>
      <c r="H139" s="3" t="s">
        <v>83</v>
      </c>
      <c r="I139" s="3">
        <v>3</v>
      </c>
      <c r="J139" s="3">
        <v>800</v>
      </c>
      <c r="K139" s="3">
        <v>2400</v>
      </c>
      <c r="L139" s="3" t="s">
        <v>50</v>
      </c>
      <c r="M139" s="3" t="s">
        <v>41</v>
      </c>
      <c r="N139" s="3" t="s">
        <v>122</v>
      </c>
      <c r="O139" s="4" t="str">
        <f>IF(ISNUMBER(SEARCH("cancel",[1]!Table1[[#This Row],[Status]])),"Cancelled",
IF(ISNUMBER(SEARCH("pend",[1]!Table1[[#This Row],[Status]])),"Pending","Completed"))</f>
        <v>Completed</v>
      </c>
    </row>
    <row r="140" spans="1:15" x14ac:dyDescent="0.3">
      <c r="A140" s="5" t="s">
        <v>184</v>
      </c>
      <c r="B140" s="6">
        <v>45711</v>
      </c>
      <c r="C140" s="7" t="str">
        <f>TEXT([1]!Table1[[#This Row],[Date]],"dddd")</f>
        <v>Monday</v>
      </c>
      <c r="D140" s="7" t="s">
        <v>9</v>
      </c>
      <c r="E140" s="7">
        <v>2025</v>
      </c>
      <c r="F140" s="7" t="s">
        <v>35</v>
      </c>
      <c r="G140" s="7" t="s">
        <v>3</v>
      </c>
      <c r="H140" s="7" t="s">
        <v>4</v>
      </c>
      <c r="I140" s="7">
        <v>1</v>
      </c>
      <c r="J140" s="7">
        <v>60</v>
      </c>
      <c r="K140" s="7">
        <v>60</v>
      </c>
      <c r="L140" s="7" t="s">
        <v>50</v>
      </c>
      <c r="M140" s="7" t="s">
        <v>36</v>
      </c>
      <c r="N140" s="7" t="s">
        <v>122</v>
      </c>
      <c r="O140" s="8" t="str">
        <f>IF(ISNUMBER(SEARCH("cancel",[1]!Table1[[#This Row],[Status]])),"Cancelled",
IF(ISNUMBER(SEARCH("pend",[1]!Table1[[#This Row],[Status]])),"Pending","Completed"))</f>
        <v>Completed</v>
      </c>
    </row>
    <row r="141" spans="1:15" x14ac:dyDescent="0.3">
      <c r="A141" s="1" t="s">
        <v>185</v>
      </c>
      <c r="B141" s="2">
        <v>45728</v>
      </c>
      <c r="C141" s="3" t="str">
        <f>TEXT([1]!Table1[[#This Row],[Date]],"dddd")</f>
        <v>Sunday</v>
      </c>
      <c r="D141" s="3" t="s">
        <v>1</v>
      </c>
      <c r="E141" s="3">
        <v>2025</v>
      </c>
      <c r="F141" s="3" t="s">
        <v>19</v>
      </c>
      <c r="G141" s="3" t="s">
        <v>3</v>
      </c>
      <c r="H141" s="3" t="s">
        <v>4</v>
      </c>
      <c r="I141" s="3">
        <v>2</v>
      </c>
      <c r="J141" s="3">
        <v>60</v>
      </c>
      <c r="K141" s="3">
        <v>120</v>
      </c>
      <c r="L141" s="3" t="s">
        <v>11</v>
      </c>
      <c r="M141" s="3" t="s">
        <v>12</v>
      </c>
      <c r="N141" s="3" t="s">
        <v>122</v>
      </c>
      <c r="O141" s="4" t="str">
        <f>IF(ISNUMBER(SEARCH("cancel",[1]!Table1[[#This Row],[Status]])),"Cancelled",
IF(ISNUMBER(SEARCH("pend",[1]!Table1[[#This Row],[Status]])),"Pending","Completed"))</f>
        <v>Completed</v>
      </c>
    </row>
    <row r="142" spans="1:15" x14ac:dyDescent="0.3">
      <c r="A142" s="5" t="s">
        <v>186</v>
      </c>
      <c r="B142" s="6">
        <v>45710</v>
      </c>
      <c r="C142" s="7" t="str">
        <f>TEXT([1]!Table1[[#This Row],[Date]],"dddd")</f>
        <v>Wednesday</v>
      </c>
      <c r="D142" s="7" t="s">
        <v>9</v>
      </c>
      <c r="E142" s="7">
        <v>2025</v>
      </c>
      <c r="F142" s="7" t="s">
        <v>28</v>
      </c>
      <c r="G142" s="7" t="s">
        <v>15</v>
      </c>
      <c r="H142" s="7" t="s">
        <v>16</v>
      </c>
      <c r="I142" s="7">
        <v>3</v>
      </c>
      <c r="J142" s="7">
        <v>500</v>
      </c>
      <c r="K142" s="7">
        <v>1500</v>
      </c>
      <c r="L142" s="7" t="s">
        <v>31</v>
      </c>
      <c r="M142" s="7" t="s">
        <v>26</v>
      </c>
      <c r="N142" s="7" t="s">
        <v>122</v>
      </c>
      <c r="O142" s="8" t="str">
        <f>IF(ISNUMBER(SEARCH("cancel",[1]!Table1[[#This Row],[Status]])),"Cancelled",
IF(ISNUMBER(SEARCH("pend",[1]!Table1[[#This Row],[Status]])),"Pending","Completed"))</f>
        <v>Completed</v>
      </c>
    </row>
    <row r="143" spans="1:15" x14ac:dyDescent="0.3">
      <c r="A143" s="1" t="s">
        <v>187</v>
      </c>
      <c r="B143" s="2">
        <v>45698</v>
      </c>
      <c r="C143" s="3" t="str">
        <f>TEXT([1]!Table1[[#This Row],[Date]],"dddd")</f>
        <v>Saturday</v>
      </c>
      <c r="D143" s="3" t="s">
        <v>9</v>
      </c>
      <c r="E143" s="3">
        <v>2025</v>
      </c>
      <c r="F143" s="3" t="s">
        <v>28</v>
      </c>
      <c r="G143" s="3" t="s">
        <v>39</v>
      </c>
      <c r="H143" s="3" t="s">
        <v>40</v>
      </c>
      <c r="I143" s="3">
        <v>2</v>
      </c>
      <c r="J143" s="3">
        <v>15</v>
      </c>
      <c r="K143" s="3">
        <v>30</v>
      </c>
      <c r="L143" s="3" t="s">
        <v>56</v>
      </c>
      <c r="M143" s="3" t="s">
        <v>12</v>
      </c>
      <c r="N143" s="3" t="s">
        <v>122</v>
      </c>
      <c r="O143" s="4" t="str">
        <f>IF(ISNUMBER(SEARCH("cancel",[1]!Table1[[#This Row],[Status]])),"Cancelled",
IF(ISNUMBER(SEARCH("pend",[1]!Table1[[#This Row],[Status]])),"Pending","Completed"))</f>
        <v>Completed</v>
      </c>
    </row>
    <row r="144" spans="1:15" x14ac:dyDescent="0.3">
      <c r="A144" s="5" t="s">
        <v>188</v>
      </c>
      <c r="B144" s="6">
        <v>45691</v>
      </c>
      <c r="C144" s="7" t="str">
        <f>TEXT([1]!Table1[[#This Row],[Date]],"dddd")</f>
        <v>Monday</v>
      </c>
      <c r="D144" s="7" t="s">
        <v>9</v>
      </c>
      <c r="E144" s="7">
        <v>2025</v>
      </c>
      <c r="F144" s="7" t="s">
        <v>19</v>
      </c>
      <c r="G144" s="7" t="s">
        <v>39</v>
      </c>
      <c r="H144" s="7" t="s">
        <v>40</v>
      </c>
      <c r="I144" s="7">
        <v>4</v>
      </c>
      <c r="J144" s="7">
        <v>15</v>
      </c>
      <c r="K144" s="7">
        <v>60</v>
      </c>
      <c r="L144" s="7" t="s">
        <v>17</v>
      </c>
      <c r="M144" s="7" t="s">
        <v>26</v>
      </c>
      <c r="N144" s="7" t="s">
        <v>122</v>
      </c>
      <c r="O144" s="8" t="str">
        <f>IF(ISNUMBER(SEARCH("cancel",[1]!Table1[[#This Row],[Status]])),"Cancelled",
IF(ISNUMBER(SEARCH("pend",[1]!Table1[[#This Row],[Status]])),"Pending","Completed"))</f>
        <v>Completed</v>
      </c>
    </row>
    <row r="145" spans="1:15" x14ac:dyDescent="0.3">
      <c r="A145" s="1" t="s">
        <v>189</v>
      </c>
      <c r="B145" s="2">
        <v>45709</v>
      </c>
      <c r="C145" s="3" t="str">
        <f>TEXT([1]!Table1[[#This Row],[Date]],"dddd")</f>
        <v>Monday</v>
      </c>
      <c r="D145" s="3" t="s">
        <v>9</v>
      </c>
      <c r="E145" s="3">
        <v>2025</v>
      </c>
      <c r="F145" s="3" t="s">
        <v>10</v>
      </c>
      <c r="G145" s="3" t="s">
        <v>20</v>
      </c>
      <c r="H145" s="3" t="s">
        <v>24</v>
      </c>
      <c r="I145" s="3">
        <v>3</v>
      </c>
      <c r="J145" s="3">
        <v>1200</v>
      </c>
      <c r="K145" s="3">
        <v>3600</v>
      </c>
      <c r="L145" s="3" t="s">
        <v>31</v>
      </c>
      <c r="M145" s="3" t="s">
        <v>41</v>
      </c>
      <c r="N145" s="3" t="s">
        <v>122</v>
      </c>
      <c r="O145" s="4" t="str">
        <f>IF(ISNUMBER(SEARCH("cancel",[1]!Table1[[#This Row],[Status]])),"Cancelled",
IF(ISNUMBER(SEARCH("pend",[1]!Table1[[#This Row],[Status]])),"Pending","Completed"))</f>
        <v>Completed</v>
      </c>
    </row>
    <row r="146" spans="1:15" x14ac:dyDescent="0.3">
      <c r="A146" s="5" t="s">
        <v>190</v>
      </c>
      <c r="B146" s="6">
        <v>45715</v>
      </c>
      <c r="C146" s="7" t="str">
        <f>TEXT([1]!Table1[[#This Row],[Date]],"dddd")</f>
        <v>Friday</v>
      </c>
      <c r="D146" s="7" t="s">
        <v>9</v>
      </c>
      <c r="E146" s="7">
        <v>2025</v>
      </c>
      <c r="F146" s="7" t="s">
        <v>49</v>
      </c>
      <c r="G146" s="7" t="s">
        <v>15</v>
      </c>
      <c r="H146" s="7" t="s">
        <v>29</v>
      </c>
      <c r="I146" s="7">
        <v>2</v>
      </c>
      <c r="J146" s="7">
        <v>100</v>
      </c>
      <c r="K146" s="7">
        <v>200</v>
      </c>
      <c r="L146" s="7" t="s">
        <v>50</v>
      </c>
      <c r="M146" s="7" t="s">
        <v>12</v>
      </c>
      <c r="N146" s="7" t="s">
        <v>122</v>
      </c>
      <c r="O146" s="8" t="str">
        <f>IF(ISNUMBER(SEARCH("cancel",[1]!Table1[[#This Row],[Status]])),"Cancelled",
IF(ISNUMBER(SEARCH("pend",[1]!Table1[[#This Row],[Status]])),"Pending","Completed"))</f>
        <v>Completed</v>
      </c>
    </row>
    <row r="147" spans="1:15" x14ac:dyDescent="0.3">
      <c r="A147" s="1" t="s">
        <v>191</v>
      </c>
      <c r="B147" s="2">
        <v>45737</v>
      </c>
      <c r="C147" s="3" t="str">
        <f>TEXT([1]!Table1[[#This Row],[Date]],"dddd")</f>
        <v>Thursday</v>
      </c>
      <c r="D147" s="3" t="s">
        <v>1</v>
      </c>
      <c r="E147" s="3">
        <v>2025</v>
      </c>
      <c r="F147" s="3" t="s">
        <v>10</v>
      </c>
      <c r="G147" s="3" t="s">
        <v>20</v>
      </c>
      <c r="H147" s="3" t="s">
        <v>21</v>
      </c>
      <c r="I147" s="3">
        <v>1</v>
      </c>
      <c r="J147" s="3">
        <v>600</v>
      </c>
      <c r="K147" s="3">
        <v>600</v>
      </c>
      <c r="L147" s="3" t="s">
        <v>22</v>
      </c>
      <c r="M147" s="3" t="s">
        <v>41</v>
      </c>
      <c r="N147" s="3" t="s">
        <v>122</v>
      </c>
      <c r="O147" s="4" t="str">
        <f>IF(ISNUMBER(SEARCH("cancel",[1]!Table1[[#This Row],[Status]])),"Cancelled",
IF(ISNUMBER(SEARCH("pend",[1]!Table1[[#This Row],[Status]])),"Pending","Completed"))</f>
        <v>Completed</v>
      </c>
    </row>
    <row r="148" spans="1:15" x14ac:dyDescent="0.3">
      <c r="A148" s="5" t="s">
        <v>192</v>
      </c>
      <c r="B148" s="6">
        <v>45690</v>
      </c>
      <c r="C148" s="7" t="str">
        <f>TEXT([1]!Table1[[#This Row],[Date]],"dddd")</f>
        <v>Friday</v>
      </c>
      <c r="D148" s="7" t="s">
        <v>9</v>
      </c>
      <c r="E148" s="7">
        <v>2025</v>
      </c>
      <c r="F148" s="7" t="s">
        <v>10</v>
      </c>
      <c r="G148" s="7" t="s">
        <v>20</v>
      </c>
      <c r="H148" s="7" t="s">
        <v>24</v>
      </c>
      <c r="I148" s="7">
        <v>3</v>
      </c>
      <c r="J148" s="7">
        <v>1200</v>
      </c>
      <c r="K148" s="7">
        <v>3600</v>
      </c>
      <c r="L148" s="7" t="s">
        <v>22</v>
      </c>
      <c r="M148" s="7" t="s">
        <v>41</v>
      </c>
      <c r="N148" s="7" t="s">
        <v>122</v>
      </c>
      <c r="O148" s="8" t="str">
        <f>IF(ISNUMBER(SEARCH("cancel",[1]!Table1[[#This Row],[Status]])),"Cancelled",
IF(ISNUMBER(SEARCH("pend",[1]!Table1[[#This Row],[Status]])),"Pending","Completed"))</f>
        <v>Completed</v>
      </c>
    </row>
    <row r="149" spans="1:15" x14ac:dyDescent="0.3">
      <c r="A149" s="1" t="s">
        <v>193</v>
      </c>
      <c r="B149" s="2">
        <v>45745</v>
      </c>
      <c r="C149" s="3" t="str">
        <f>TEXT([1]!Table1[[#This Row],[Date]],"dddd")</f>
        <v>Sunday</v>
      </c>
      <c r="D149" s="3" t="s">
        <v>1</v>
      </c>
      <c r="E149" s="3">
        <v>2025</v>
      </c>
      <c r="F149" s="3" t="s">
        <v>60</v>
      </c>
      <c r="G149" s="3" t="s">
        <v>52</v>
      </c>
      <c r="H149" s="3" t="s">
        <v>77</v>
      </c>
      <c r="I149" s="3">
        <v>5</v>
      </c>
      <c r="J149" s="3">
        <v>40</v>
      </c>
      <c r="K149" s="3">
        <v>200</v>
      </c>
      <c r="L149" s="3" t="s">
        <v>31</v>
      </c>
      <c r="M149" s="3" t="s">
        <v>41</v>
      </c>
      <c r="N149" s="3" t="s">
        <v>122</v>
      </c>
      <c r="O149" s="4" t="str">
        <f>IF(ISNUMBER(SEARCH("cancel",[1]!Table1[[#This Row],[Status]])),"Cancelled",
IF(ISNUMBER(SEARCH("pend",[1]!Table1[[#This Row],[Status]])),"Pending","Completed"))</f>
        <v>Completed</v>
      </c>
    </row>
    <row r="150" spans="1:15" x14ac:dyDescent="0.3">
      <c r="A150" s="5" t="s">
        <v>194</v>
      </c>
      <c r="B150" s="6">
        <v>45739</v>
      </c>
      <c r="C150" s="7" t="str">
        <f>TEXT([1]!Table1[[#This Row],[Date]],"dddd")</f>
        <v>Saturday</v>
      </c>
      <c r="D150" s="7" t="s">
        <v>1</v>
      </c>
      <c r="E150" s="7">
        <v>2025</v>
      </c>
      <c r="F150" s="7" t="s">
        <v>45</v>
      </c>
      <c r="G150" s="7" t="s">
        <v>15</v>
      </c>
      <c r="H150" s="7" t="s">
        <v>83</v>
      </c>
      <c r="I150" s="7">
        <v>3</v>
      </c>
      <c r="J150" s="7">
        <v>800</v>
      </c>
      <c r="K150" s="7">
        <v>2400</v>
      </c>
      <c r="L150" s="7" t="s">
        <v>5</v>
      </c>
      <c r="M150" s="7" t="s">
        <v>26</v>
      </c>
      <c r="N150" s="7" t="s">
        <v>122</v>
      </c>
      <c r="O150" s="8" t="str">
        <f>IF(ISNUMBER(SEARCH("cancel",[1]!Table1[[#This Row],[Status]])),"Cancelled",
IF(ISNUMBER(SEARCH("pend",[1]!Table1[[#This Row],[Status]])),"Pending","Completed"))</f>
        <v>Completed</v>
      </c>
    </row>
    <row r="151" spans="1:15" x14ac:dyDescent="0.3">
      <c r="A151" s="1" t="s">
        <v>195</v>
      </c>
      <c r="B151" s="2">
        <v>45725</v>
      </c>
      <c r="C151" s="3" t="str">
        <f>TEXT([1]!Table1[[#This Row],[Date]],"dddd")</f>
        <v>Sunday</v>
      </c>
      <c r="D151" s="3" t="s">
        <v>1</v>
      </c>
      <c r="E151" s="3">
        <v>2025</v>
      </c>
      <c r="F151" s="3" t="s">
        <v>2</v>
      </c>
      <c r="G151" s="3" t="s">
        <v>52</v>
      </c>
      <c r="H151" s="3" t="s">
        <v>53</v>
      </c>
      <c r="I151" s="3">
        <v>4</v>
      </c>
      <c r="J151" s="3">
        <v>20</v>
      </c>
      <c r="K151" s="3">
        <v>80</v>
      </c>
      <c r="L151" s="3" t="s">
        <v>50</v>
      </c>
      <c r="M151" s="3" t="s">
        <v>26</v>
      </c>
      <c r="N151" s="3" t="s">
        <v>122</v>
      </c>
      <c r="O151" s="4" t="str">
        <f>IF(ISNUMBER(SEARCH("cancel",[1]!Table1[[#This Row],[Status]])),"Cancelled",
IF(ISNUMBER(SEARCH("pend",[1]!Table1[[#This Row],[Status]])),"Pending","Completed"))</f>
        <v>Completed</v>
      </c>
    </row>
    <row r="152" spans="1:15" x14ac:dyDescent="0.3">
      <c r="A152" s="5" t="s">
        <v>196</v>
      </c>
      <c r="B152" s="6">
        <v>45706</v>
      </c>
      <c r="C152" s="7" t="str">
        <f>TEXT([1]!Table1[[#This Row],[Date]],"dddd")</f>
        <v>Sunday</v>
      </c>
      <c r="D152" s="7" t="s">
        <v>9</v>
      </c>
      <c r="E152" s="7">
        <v>2025</v>
      </c>
      <c r="F152" s="7" t="s">
        <v>14</v>
      </c>
      <c r="G152" s="7" t="s">
        <v>15</v>
      </c>
      <c r="H152" s="7" t="s">
        <v>61</v>
      </c>
      <c r="I152" s="7">
        <v>5</v>
      </c>
      <c r="J152" s="7">
        <v>150</v>
      </c>
      <c r="K152" s="7">
        <v>750</v>
      </c>
      <c r="L152" s="7" t="s">
        <v>50</v>
      </c>
      <c r="M152" s="7" t="s">
        <v>41</v>
      </c>
      <c r="N152" s="7" t="s">
        <v>122</v>
      </c>
      <c r="O152" s="8" t="str">
        <f>IF(ISNUMBER(SEARCH("cancel",[1]!Table1[[#This Row],[Status]])),"Cancelled",
IF(ISNUMBER(SEARCH("pend",[1]!Table1[[#This Row],[Status]])),"Pending","Completed"))</f>
        <v>Completed</v>
      </c>
    </row>
    <row r="153" spans="1:15" x14ac:dyDescent="0.3">
      <c r="A153" s="1" t="s">
        <v>197</v>
      </c>
      <c r="B153" s="2">
        <v>45723</v>
      </c>
      <c r="C153" s="3" t="str">
        <f>TEXT([1]!Table1[[#This Row],[Date]],"dddd")</f>
        <v>Tuesday</v>
      </c>
      <c r="D153" s="3" t="s">
        <v>1</v>
      </c>
      <c r="E153" s="3">
        <v>2025</v>
      </c>
      <c r="F153" s="3" t="s">
        <v>2</v>
      </c>
      <c r="G153" s="3" t="s">
        <v>3</v>
      </c>
      <c r="H153" s="3" t="s">
        <v>4</v>
      </c>
      <c r="I153" s="3">
        <v>1</v>
      </c>
      <c r="J153" s="3">
        <v>60</v>
      </c>
      <c r="K153" s="3">
        <v>60</v>
      </c>
      <c r="L153" s="3" t="s">
        <v>50</v>
      </c>
      <c r="M153" s="3" t="s">
        <v>12</v>
      </c>
      <c r="N153" s="3" t="s">
        <v>122</v>
      </c>
      <c r="O153" s="4" t="str">
        <f>IF(ISNUMBER(SEARCH("cancel",[1]!Table1[[#This Row],[Status]])),"Cancelled",
IF(ISNUMBER(SEARCH("pend",[1]!Table1[[#This Row],[Status]])),"Pending","Completed"))</f>
        <v>Completed</v>
      </c>
    </row>
    <row r="154" spans="1:15" x14ac:dyDescent="0.3">
      <c r="A154" s="5" t="s">
        <v>198</v>
      </c>
      <c r="B154" s="6">
        <v>45742</v>
      </c>
      <c r="C154" s="7" t="str">
        <f>TEXT([1]!Table1[[#This Row],[Date]],"dddd")</f>
        <v>Friday</v>
      </c>
      <c r="D154" s="7" t="s">
        <v>1</v>
      </c>
      <c r="E154" s="7">
        <v>2025</v>
      </c>
      <c r="F154" s="7" t="s">
        <v>28</v>
      </c>
      <c r="G154" s="7" t="s">
        <v>52</v>
      </c>
      <c r="H154" s="7" t="s">
        <v>77</v>
      </c>
      <c r="I154" s="7">
        <v>2</v>
      </c>
      <c r="J154" s="7">
        <v>40</v>
      </c>
      <c r="K154" s="7">
        <v>80</v>
      </c>
      <c r="L154" s="7" t="s">
        <v>47</v>
      </c>
      <c r="M154" s="7" t="s">
        <v>26</v>
      </c>
      <c r="N154" s="7" t="s">
        <v>122</v>
      </c>
      <c r="O154" s="8" t="str">
        <f>IF(ISNUMBER(SEARCH("cancel",[1]!Table1[[#This Row],[Status]])),"Cancelled",
IF(ISNUMBER(SEARCH("pend",[1]!Table1[[#This Row],[Status]])),"Pending","Completed"))</f>
        <v>Completed</v>
      </c>
    </row>
    <row r="155" spans="1:15" x14ac:dyDescent="0.3">
      <c r="A155" s="1" t="s">
        <v>199</v>
      </c>
      <c r="B155" s="2">
        <v>45698</v>
      </c>
      <c r="C155" s="3" t="str">
        <f>TEXT([1]!Table1[[#This Row],[Date]],"dddd")</f>
        <v>Wednesday</v>
      </c>
      <c r="D155" s="3" t="s">
        <v>9</v>
      </c>
      <c r="E155" s="3">
        <v>2025</v>
      </c>
      <c r="F155" s="3" t="s">
        <v>19</v>
      </c>
      <c r="G155" s="3" t="s">
        <v>15</v>
      </c>
      <c r="H155" s="3" t="s">
        <v>61</v>
      </c>
      <c r="I155" s="3">
        <v>3</v>
      </c>
      <c r="J155" s="3">
        <v>150</v>
      </c>
      <c r="K155" s="3">
        <v>450</v>
      </c>
      <c r="L155" s="3" t="s">
        <v>11</v>
      </c>
      <c r="M155" s="3" t="s">
        <v>41</v>
      </c>
      <c r="N155" s="3" t="s">
        <v>122</v>
      </c>
      <c r="O155" s="4" t="str">
        <f>IF(ISNUMBER(SEARCH("cancel",[1]!Table1[[#This Row],[Status]])),"Cancelled",
IF(ISNUMBER(SEARCH("pend",[1]!Table1[[#This Row],[Status]])),"Pending","Completed"))</f>
        <v>Completed</v>
      </c>
    </row>
    <row r="156" spans="1:15" x14ac:dyDescent="0.3">
      <c r="A156" s="5" t="s">
        <v>200</v>
      </c>
      <c r="B156" s="6">
        <v>45734</v>
      </c>
      <c r="C156" s="7" t="str">
        <f>TEXT([1]!Table1[[#This Row],[Date]],"dddd")</f>
        <v>Monday</v>
      </c>
      <c r="D156" s="7" t="s">
        <v>1</v>
      </c>
      <c r="E156" s="7">
        <v>2025</v>
      </c>
      <c r="F156" s="7" t="s">
        <v>45</v>
      </c>
      <c r="G156" s="7" t="s">
        <v>20</v>
      </c>
      <c r="H156" s="7" t="s">
        <v>24</v>
      </c>
      <c r="I156" s="7">
        <v>1</v>
      </c>
      <c r="J156" s="7">
        <v>1200</v>
      </c>
      <c r="K156" s="7">
        <v>1200</v>
      </c>
      <c r="L156" s="7" t="s">
        <v>22</v>
      </c>
      <c r="M156" s="7" t="s">
        <v>6</v>
      </c>
      <c r="N156" s="7" t="s">
        <v>122</v>
      </c>
      <c r="O156" s="8" t="str">
        <f>IF(ISNUMBER(SEARCH("cancel",[1]!Table1[[#This Row],[Status]])),"Cancelled",
IF(ISNUMBER(SEARCH("pend",[1]!Table1[[#This Row],[Status]])),"Pending","Completed"))</f>
        <v>Completed</v>
      </c>
    </row>
    <row r="157" spans="1:15" x14ac:dyDescent="0.3">
      <c r="A157" s="1" t="s">
        <v>201</v>
      </c>
      <c r="B157" s="2">
        <v>45721</v>
      </c>
      <c r="C157" s="3" t="str">
        <f>TEXT([1]!Table1[[#This Row],[Date]],"dddd")</f>
        <v>Tuesday</v>
      </c>
      <c r="D157" s="3" t="s">
        <v>1</v>
      </c>
      <c r="E157" s="3">
        <v>2025</v>
      </c>
      <c r="F157" s="3" t="s">
        <v>28</v>
      </c>
      <c r="G157" s="3" t="s">
        <v>3</v>
      </c>
      <c r="H157" s="3" t="s">
        <v>4</v>
      </c>
      <c r="I157" s="3">
        <v>4</v>
      </c>
      <c r="J157" s="3">
        <v>60</v>
      </c>
      <c r="K157" s="3">
        <v>240</v>
      </c>
      <c r="L157" s="3" t="s">
        <v>47</v>
      </c>
      <c r="M157" s="3" t="s">
        <v>12</v>
      </c>
      <c r="N157" s="3" t="s">
        <v>122</v>
      </c>
      <c r="O157" s="4" t="str">
        <f>IF(ISNUMBER(SEARCH("cancel",[1]!Table1[[#This Row],[Status]])),"Cancelled",
IF(ISNUMBER(SEARCH("pend",[1]!Table1[[#This Row],[Status]])),"Pending","Completed"))</f>
        <v>Completed</v>
      </c>
    </row>
    <row r="158" spans="1:15" x14ac:dyDescent="0.3">
      <c r="A158" s="5" t="s">
        <v>202</v>
      </c>
      <c r="B158" s="6">
        <v>45730</v>
      </c>
      <c r="C158" s="7" t="str">
        <f>TEXT([1]!Table1[[#This Row],[Date]],"dddd")</f>
        <v>Wednesday</v>
      </c>
      <c r="D158" s="7" t="s">
        <v>1</v>
      </c>
      <c r="E158" s="7">
        <v>2025</v>
      </c>
      <c r="F158" s="7" t="s">
        <v>2</v>
      </c>
      <c r="G158" s="7" t="s">
        <v>20</v>
      </c>
      <c r="H158" s="7" t="s">
        <v>24</v>
      </c>
      <c r="I158" s="7">
        <v>3</v>
      </c>
      <c r="J158" s="7">
        <v>1200</v>
      </c>
      <c r="K158" s="7">
        <v>3600</v>
      </c>
      <c r="L158" s="7" t="s">
        <v>56</v>
      </c>
      <c r="M158" s="7" t="s">
        <v>41</v>
      </c>
      <c r="N158" s="7" t="s">
        <v>122</v>
      </c>
      <c r="O158" s="8" t="str">
        <f>IF(ISNUMBER(SEARCH("cancel",[1]!Table1[[#This Row],[Status]])),"Cancelled",
IF(ISNUMBER(SEARCH("pend",[1]!Table1[[#This Row],[Status]])),"Pending","Completed"))</f>
        <v>Completed</v>
      </c>
    </row>
    <row r="159" spans="1:15" x14ac:dyDescent="0.3">
      <c r="A159" s="1" t="s">
        <v>203</v>
      </c>
      <c r="B159" s="2">
        <v>45739</v>
      </c>
      <c r="C159" s="3" t="str">
        <f>TEXT([1]!Table1[[#This Row],[Date]],"dddd")</f>
        <v>Friday</v>
      </c>
      <c r="D159" s="3" t="s">
        <v>1</v>
      </c>
      <c r="E159" s="3">
        <v>2025</v>
      </c>
      <c r="F159" s="3" t="s">
        <v>60</v>
      </c>
      <c r="G159" s="3" t="s">
        <v>20</v>
      </c>
      <c r="H159" s="3" t="s">
        <v>24</v>
      </c>
      <c r="I159" s="3">
        <v>1</v>
      </c>
      <c r="J159" s="3">
        <v>1200</v>
      </c>
      <c r="K159" s="3">
        <v>1200</v>
      </c>
      <c r="L159" s="3" t="s">
        <v>31</v>
      </c>
      <c r="M159" s="3" t="s">
        <v>41</v>
      </c>
      <c r="N159" s="3" t="s">
        <v>122</v>
      </c>
      <c r="O159" s="4" t="str">
        <f>IF(ISNUMBER(SEARCH("cancel",[1]!Table1[[#This Row],[Status]])),"Cancelled",
IF(ISNUMBER(SEARCH("pend",[1]!Table1[[#This Row],[Status]])),"Pending","Completed"))</f>
        <v>Completed</v>
      </c>
    </row>
    <row r="160" spans="1:15" x14ac:dyDescent="0.3">
      <c r="A160" s="5" t="s">
        <v>204</v>
      </c>
      <c r="B160" s="6">
        <v>45721</v>
      </c>
      <c r="C160" s="7" t="str">
        <f>TEXT([1]!Table1[[#This Row],[Date]],"dddd")</f>
        <v>Sunday</v>
      </c>
      <c r="D160" s="7" t="s">
        <v>1</v>
      </c>
      <c r="E160" s="7">
        <v>2025</v>
      </c>
      <c r="F160" s="7" t="s">
        <v>10</v>
      </c>
      <c r="G160" s="7" t="s">
        <v>15</v>
      </c>
      <c r="H160" s="7" t="s">
        <v>16</v>
      </c>
      <c r="I160" s="7">
        <v>5</v>
      </c>
      <c r="J160" s="7">
        <v>500</v>
      </c>
      <c r="K160" s="7">
        <v>2500</v>
      </c>
      <c r="L160" s="7" t="s">
        <v>25</v>
      </c>
      <c r="M160" s="7" t="s">
        <v>41</v>
      </c>
      <c r="N160" s="7" t="s">
        <v>122</v>
      </c>
      <c r="O160" s="8" t="str">
        <f>IF(ISNUMBER(SEARCH("cancel",[1]!Table1[[#This Row],[Status]])),"Cancelled",
IF(ISNUMBER(SEARCH("pend",[1]!Table1[[#This Row],[Status]])),"Pending","Completed"))</f>
        <v>Completed</v>
      </c>
    </row>
    <row r="161" spans="1:15" x14ac:dyDescent="0.3">
      <c r="A161" s="1" t="s">
        <v>205</v>
      </c>
      <c r="B161" s="2">
        <v>45732</v>
      </c>
      <c r="C161" s="3" t="str">
        <f>TEXT([1]!Table1[[#This Row],[Date]],"dddd")</f>
        <v>Wednesday</v>
      </c>
      <c r="D161" s="3" t="s">
        <v>1</v>
      </c>
      <c r="E161" s="3">
        <v>2025</v>
      </c>
      <c r="F161" s="3" t="s">
        <v>33</v>
      </c>
      <c r="G161" s="3" t="s">
        <v>15</v>
      </c>
      <c r="H161" s="3" t="s">
        <v>29</v>
      </c>
      <c r="I161" s="3">
        <v>1</v>
      </c>
      <c r="J161" s="3">
        <v>100</v>
      </c>
      <c r="K161" s="3">
        <v>100</v>
      </c>
      <c r="L161" s="3" t="s">
        <v>11</v>
      </c>
      <c r="M161" s="3" t="s">
        <v>6</v>
      </c>
      <c r="N161" s="3" t="s">
        <v>122</v>
      </c>
      <c r="O161" s="4" t="str">
        <f>IF(ISNUMBER(SEARCH("cancel",[1]!Table1[[#This Row],[Status]])),"Cancelled",
IF(ISNUMBER(SEARCH("pend",[1]!Table1[[#This Row],[Status]])),"Pending","Completed"))</f>
        <v>Completed</v>
      </c>
    </row>
    <row r="162" spans="1:15" x14ac:dyDescent="0.3">
      <c r="A162" s="5" t="s">
        <v>206</v>
      </c>
      <c r="B162" s="6">
        <v>45738</v>
      </c>
      <c r="C162" s="7" t="str">
        <f>TEXT([1]!Table1[[#This Row],[Date]],"dddd")</f>
        <v>Sunday</v>
      </c>
      <c r="D162" s="7" t="s">
        <v>1</v>
      </c>
      <c r="E162" s="7">
        <v>2025</v>
      </c>
      <c r="F162" s="7" t="s">
        <v>60</v>
      </c>
      <c r="G162" s="7" t="s">
        <v>15</v>
      </c>
      <c r="H162" s="7" t="s">
        <v>61</v>
      </c>
      <c r="I162" s="7">
        <v>5</v>
      </c>
      <c r="J162" s="7">
        <v>150</v>
      </c>
      <c r="K162" s="7">
        <v>750</v>
      </c>
      <c r="L162" s="7" t="s">
        <v>50</v>
      </c>
      <c r="M162" s="7" t="s">
        <v>6</v>
      </c>
      <c r="N162" s="7" t="s">
        <v>122</v>
      </c>
      <c r="O162" s="8" t="str">
        <f>IF(ISNUMBER(SEARCH("cancel",[1]!Table1[[#This Row],[Status]])),"Cancelled",
IF(ISNUMBER(SEARCH("pend",[1]!Table1[[#This Row],[Status]])),"Pending","Completed"))</f>
        <v>Completed</v>
      </c>
    </row>
    <row r="163" spans="1:15" x14ac:dyDescent="0.3">
      <c r="A163" s="1" t="s">
        <v>207</v>
      </c>
      <c r="B163" s="2">
        <v>45721</v>
      </c>
      <c r="C163" s="3" t="str">
        <f>TEXT([1]!Table1[[#This Row],[Date]],"dddd")</f>
        <v>Saturday</v>
      </c>
      <c r="D163" s="3" t="s">
        <v>1</v>
      </c>
      <c r="E163" s="3">
        <v>2025</v>
      </c>
      <c r="F163" s="3" t="s">
        <v>28</v>
      </c>
      <c r="G163" s="3" t="s">
        <v>3</v>
      </c>
      <c r="H163" s="3" t="s">
        <v>4</v>
      </c>
      <c r="I163" s="3">
        <v>2</v>
      </c>
      <c r="J163" s="3">
        <v>60</v>
      </c>
      <c r="K163" s="3">
        <v>120</v>
      </c>
      <c r="L163" s="3" t="s">
        <v>50</v>
      </c>
      <c r="M163" s="3" t="s">
        <v>12</v>
      </c>
      <c r="N163" s="3" t="s">
        <v>122</v>
      </c>
      <c r="O163" s="4" t="str">
        <f>IF(ISNUMBER(SEARCH("cancel",[1]!Table1[[#This Row],[Status]])),"Cancelled",
IF(ISNUMBER(SEARCH("pend",[1]!Table1[[#This Row],[Status]])),"Pending","Completed"))</f>
        <v>Completed</v>
      </c>
    </row>
    <row r="164" spans="1:15" x14ac:dyDescent="0.3">
      <c r="A164" s="5" t="s">
        <v>208</v>
      </c>
      <c r="B164" s="6">
        <v>45694</v>
      </c>
      <c r="C164" s="7" t="str">
        <f>TEXT([1]!Table1[[#This Row],[Date]],"dddd")</f>
        <v>Wednesday</v>
      </c>
      <c r="D164" s="7" t="s">
        <v>9</v>
      </c>
      <c r="E164" s="7">
        <v>2025</v>
      </c>
      <c r="F164" s="7" t="s">
        <v>2</v>
      </c>
      <c r="G164" s="7" t="s">
        <v>15</v>
      </c>
      <c r="H164" s="7" t="s">
        <v>16</v>
      </c>
      <c r="I164" s="7">
        <v>4</v>
      </c>
      <c r="J164" s="7">
        <v>500</v>
      </c>
      <c r="K164" s="7">
        <v>2000</v>
      </c>
      <c r="L164" s="7" t="s">
        <v>50</v>
      </c>
      <c r="M164" s="7" t="s">
        <v>6</v>
      </c>
      <c r="N164" s="7" t="s">
        <v>122</v>
      </c>
      <c r="O164" s="8" t="str">
        <f>IF(ISNUMBER(SEARCH("cancel",[1]!Table1[[#This Row],[Status]])),"Cancelled",
IF(ISNUMBER(SEARCH("pend",[1]!Table1[[#This Row],[Status]])),"Pending","Completed"))</f>
        <v>Completed</v>
      </c>
    </row>
    <row r="165" spans="1:15" x14ac:dyDescent="0.3">
      <c r="A165" s="1" t="s">
        <v>209</v>
      </c>
      <c r="B165" s="2">
        <v>45707</v>
      </c>
      <c r="C165" s="3" t="str">
        <f>TEXT([1]!Table1[[#This Row],[Date]],"dddd")</f>
        <v>Thursday</v>
      </c>
      <c r="D165" s="3" t="s">
        <v>9</v>
      </c>
      <c r="E165" s="3">
        <v>2025</v>
      </c>
      <c r="F165" s="3" t="s">
        <v>14</v>
      </c>
      <c r="G165" s="3" t="s">
        <v>15</v>
      </c>
      <c r="H165" s="3" t="s">
        <v>16</v>
      </c>
      <c r="I165" s="3">
        <v>4</v>
      </c>
      <c r="J165" s="3">
        <v>500</v>
      </c>
      <c r="K165" s="3">
        <v>2000</v>
      </c>
      <c r="L165" s="3" t="s">
        <v>70</v>
      </c>
      <c r="M165" s="3" t="s">
        <v>26</v>
      </c>
      <c r="N165" s="3" t="s">
        <v>122</v>
      </c>
      <c r="O165" s="4" t="str">
        <f>IF(ISNUMBER(SEARCH("cancel",[1]!Table1[[#This Row],[Status]])),"Cancelled",
IF(ISNUMBER(SEARCH("pend",[1]!Table1[[#This Row],[Status]])),"Pending","Completed"))</f>
        <v>Completed</v>
      </c>
    </row>
    <row r="166" spans="1:15" x14ac:dyDescent="0.3">
      <c r="A166" s="5" t="s">
        <v>210</v>
      </c>
      <c r="B166" s="6">
        <v>45736</v>
      </c>
      <c r="C166" s="7" t="str">
        <f>TEXT([1]!Table1[[#This Row],[Date]],"dddd")</f>
        <v>Wednesday</v>
      </c>
      <c r="D166" s="7" t="s">
        <v>1</v>
      </c>
      <c r="E166" s="7">
        <v>2025</v>
      </c>
      <c r="F166" s="7" t="s">
        <v>14</v>
      </c>
      <c r="G166" s="7" t="s">
        <v>15</v>
      </c>
      <c r="H166" s="7" t="s">
        <v>29</v>
      </c>
      <c r="I166" s="7">
        <v>4</v>
      </c>
      <c r="J166" s="7">
        <v>100</v>
      </c>
      <c r="K166" s="7">
        <v>400</v>
      </c>
      <c r="L166" s="7" t="s">
        <v>17</v>
      </c>
      <c r="M166" s="7" t="s">
        <v>12</v>
      </c>
      <c r="N166" s="7" t="s">
        <v>211</v>
      </c>
      <c r="O166" s="8" t="str">
        <f>IF(ISNUMBER(SEARCH("cancel",[1]!Table1[[#This Row],[Status]])),"Cancelled",
IF(ISNUMBER(SEARCH("pend",[1]!Table1[[#This Row],[Status]])),"Pending","Completed"))</f>
        <v>Completed</v>
      </c>
    </row>
    <row r="167" spans="1:15" x14ac:dyDescent="0.3">
      <c r="A167" s="1" t="s">
        <v>212</v>
      </c>
      <c r="B167" s="2">
        <v>45707</v>
      </c>
      <c r="C167" s="3" t="str">
        <f>TEXT([1]!Table1[[#This Row],[Date]],"dddd")</f>
        <v>Thursday</v>
      </c>
      <c r="D167" s="3" t="s">
        <v>9</v>
      </c>
      <c r="E167" s="3">
        <v>2025</v>
      </c>
      <c r="F167" s="3" t="s">
        <v>33</v>
      </c>
      <c r="G167" s="3" t="s">
        <v>3</v>
      </c>
      <c r="H167" s="3" t="s">
        <v>4</v>
      </c>
      <c r="I167" s="3">
        <v>3</v>
      </c>
      <c r="J167" s="3">
        <v>60</v>
      </c>
      <c r="K167" s="3">
        <v>180</v>
      </c>
      <c r="L167" s="3" t="s">
        <v>31</v>
      </c>
      <c r="M167" s="3" t="s">
        <v>26</v>
      </c>
      <c r="N167" s="3" t="s">
        <v>211</v>
      </c>
      <c r="O167" s="4" t="str">
        <f>IF(ISNUMBER(SEARCH("cancel",[1]!Table1[[#This Row],[Status]])),"Cancelled",
IF(ISNUMBER(SEARCH("pend",[1]!Table1[[#This Row],[Status]])),"Pending","Completed"))</f>
        <v>Pending</v>
      </c>
    </row>
    <row r="168" spans="1:15" x14ac:dyDescent="0.3">
      <c r="A168" s="5" t="s">
        <v>213</v>
      </c>
      <c r="B168" s="6">
        <v>45726</v>
      </c>
      <c r="C168" s="7" t="str">
        <f>TEXT([1]!Table1[[#This Row],[Date]],"dddd")</f>
        <v>Wednesday</v>
      </c>
      <c r="D168" s="7" t="s">
        <v>1</v>
      </c>
      <c r="E168" s="7">
        <v>2025</v>
      </c>
      <c r="F168" s="7" t="s">
        <v>2</v>
      </c>
      <c r="G168" s="7" t="s">
        <v>15</v>
      </c>
      <c r="H168" s="7" t="s">
        <v>61</v>
      </c>
      <c r="I168" s="7">
        <v>3</v>
      </c>
      <c r="J168" s="7">
        <v>150</v>
      </c>
      <c r="K168" s="7">
        <v>450</v>
      </c>
      <c r="L168" s="7" t="s">
        <v>5</v>
      </c>
      <c r="M168" s="7" t="s">
        <v>12</v>
      </c>
      <c r="N168" s="7" t="s">
        <v>211</v>
      </c>
      <c r="O168" s="8" t="str">
        <f>IF(ISNUMBER(SEARCH("cancel",[1]!Table1[[#This Row],[Status]])),"Cancelled",
IF(ISNUMBER(SEARCH("pend",[1]!Table1[[#This Row],[Status]])),"Pending","Completed"))</f>
        <v>Pending</v>
      </c>
    </row>
    <row r="169" spans="1:15" x14ac:dyDescent="0.3">
      <c r="A169" s="1" t="s">
        <v>214</v>
      </c>
      <c r="B169" s="2">
        <v>45730</v>
      </c>
      <c r="C169" s="3" t="str">
        <f>TEXT([1]!Table1[[#This Row],[Date]],"dddd")</f>
        <v>Monday</v>
      </c>
      <c r="D169" s="3" t="s">
        <v>1</v>
      </c>
      <c r="E169" s="3">
        <v>2025</v>
      </c>
      <c r="F169" s="3" t="s">
        <v>10</v>
      </c>
      <c r="G169" s="3" t="s">
        <v>52</v>
      </c>
      <c r="H169" s="3" t="s">
        <v>53</v>
      </c>
      <c r="I169" s="3">
        <v>1</v>
      </c>
      <c r="J169" s="3">
        <v>20</v>
      </c>
      <c r="K169" s="3">
        <v>20</v>
      </c>
      <c r="L169" s="3" t="s">
        <v>31</v>
      </c>
      <c r="M169" s="3" t="s">
        <v>6</v>
      </c>
      <c r="N169" s="3" t="s">
        <v>211</v>
      </c>
      <c r="O169" s="4" t="str">
        <f>IF(ISNUMBER(SEARCH("cancel",[1]!Table1[[#This Row],[Status]])),"Cancelled",
IF(ISNUMBER(SEARCH("pend",[1]!Table1[[#This Row],[Status]])),"Pending","Completed"))</f>
        <v>Pending</v>
      </c>
    </row>
    <row r="170" spans="1:15" x14ac:dyDescent="0.3">
      <c r="A170" s="5" t="s">
        <v>215</v>
      </c>
      <c r="B170" s="6">
        <v>45705</v>
      </c>
      <c r="C170" s="7" t="str">
        <f>TEXT([1]!Table1[[#This Row],[Date]],"dddd")</f>
        <v>Friday</v>
      </c>
      <c r="D170" s="7" t="s">
        <v>9</v>
      </c>
      <c r="E170" s="7">
        <v>2025</v>
      </c>
      <c r="F170" s="7" t="s">
        <v>49</v>
      </c>
      <c r="G170" s="7" t="s">
        <v>39</v>
      </c>
      <c r="H170" s="7" t="s">
        <v>40</v>
      </c>
      <c r="I170" s="7">
        <v>2</v>
      </c>
      <c r="J170" s="7">
        <v>15</v>
      </c>
      <c r="K170" s="7">
        <v>30</v>
      </c>
      <c r="L170" s="7" t="s">
        <v>25</v>
      </c>
      <c r="M170" s="7" t="s">
        <v>36</v>
      </c>
      <c r="N170" s="7" t="s">
        <v>211</v>
      </c>
      <c r="O170" s="8" t="str">
        <f>IF(ISNUMBER(SEARCH("cancel",[1]!Table1[[#This Row],[Status]])),"Cancelled",
IF(ISNUMBER(SEARCH("pend",[1]!Table1[[#This Row],[Status]])),"Pending","Completed"))</f>
        <v>Pending</v>
      </c>
    </row>
    <row r="171" spans="1:15" x14ac:dyDescent="0.3">
      <c r="A171" s="1" t="s">
        <v>216</v>
      </c>
      <c r="B171" s="2">
        <v>45717</v>
      </c>
      <c r="C171" s="3" t="str">
        <f>TEXT([1]!Table1[[#This Row],[Date]],"dddd")</f>
        <v>Monday</v>
      </c>
      <c r="D171" s="3" t="s">
        <v>1</v>
      </c>
      <c r="E171" s="3">
        <v>2025</v>
      </c>
      <c r="F171" s="3" t="s">
        <v>60</v>
      </c>
      <c r="G171" s="3" t="s">
        <v>15</v>
      </c>
      <c r="H171" s="3" t="s">
        <v>83</v>
      </c>
      <c r="I171" s="3">
        <v>2</v>
      </c>
      <c r="J171" s="3">
        <v>800</v>
      </c>
      <c r="K171" s="3">
        <v>1600</v>
      </c>
      <c r="L171" s="3" t="s">
        <v>17</v>
      </c>
      <c r="M171" s="3" t="s">
        <v>26</v>
      </c>
      <c r="N171" s="3" t="s">
        <v>211</v>
      </c>
      <c r="O171" s="4" t="str">
        <f>IF(ISNUMBER(SEARCH("cancel",[1]!Table1[[#This Row],[Status]])),"Cancelled",
IF(ISNUMBER(SEARCH("pend",[1]!Table1[[#This Row],[Status]])),"Pending","Completed"))</f>
        <v>Pending</v>
      </c>
    </row>
    <row r="172" spans="1:15" x14ac:dyDescent="0.3">
      <c r="A172" s="5" t="s">
        <v>217</v>
      </c>
      <c r="B172" s="6">
        <v>45723</v>
      </c>
      <c r="C172" s="7" t="str">
        <f>TEXT([1]!Table1[[#This Row],[Date]],"dddd")</f>
        <v>Saturday</v>
      </c>
      <c r="D172" s="7" t="s">
        <v>1</v>
      </c>
      <c r="E172" s="7">
        <v>2025</v>
      </c>
      <c r="F172" s="7" t="s">
        <v>33</v>
      </c>
      <c r="G172" s="7" t="s">
        <v>15</v>
      </c>
      <c r="H172" s="7" t="s">
        <v>29</v>
      </c>
      <c r="I172" s="7">
        <v>4</v>
      </c>
      <c r="J172" s="7">
        <v>100</v>
      </c>
      <c r="K172" s="7">
        <v>400</v>
      </c>
      <c r="L172" s="7" t="s">
        <v>70</v>
      </c>
      <c r="M172" s="7" t="s">
        <v>12</v>
      </c>
      <c r="N172" s="7" t="s">
        <v>211</v>
      </c>
      <c r="O172" s="8" t="str">
        <f>IF(ISNUMBER(SEARCH("cancel",[1]!Table1[[#This Row],[Status]])),"Cancelled",
IF(ISNUMBER(SEARCH("pend",[1]!Table1[[#This Row],[Status]])),"Pending","Completed"))</f>
        <v>Pending</v>
      </c>
    </row>
    <row r="173" spans="1:15" x14ac:dyDescent="0.3">
      <c r="A173" s="1" t="s">
        <v>218</v>
      </c>
      <c r="B173" s="2">
        <v>45723</v>
      </c>
      <c r="C173" s="3" t="str">
        <f>TEXT([1]!Table1[[#This Row],[Date]],"dddd")</f>
        <v>Friday</v>
      </c>
      <c r="D173" s="3" t="s">
        <v>1</v>
      </c>
      <c r="E173" s="3">
        <v>2025</v>
      </c>
      <c r="F173" s="3" t="s">
        <v>33</v>
      </c>
      <c r="G173" s="3" t="s">
        <v>20</v>
      </c>
      <c r="H173" s="3" t="s">
        <v>24</v>
      </c>
      <c r="I173" s="3">
        <v>4</v>
      </c>
      <c r="J173" s="3">
        <v>1200</v>
      </c>
      <c r="K173" s="3">
        <v>4800</v>
      </c>
      <c r="L173" s="3" t="s">
        <v>50</v>
      </c>
      <c r="M173" s="3" t="s">
        <v>12</v>
      </c>
      <c r="N173" s="3" t="s">
        <v>211</v>
      </c>
      <c r="O173" s="4" t="str">
        <f>IF(ISNUMBER(SEARCH("cancel",[1]!Table1[[#This Row],[Status]])),"Cancelled",
IF(ISNUMBER(SEARCH("pend",[1]!Table1[[#This Row],[Status]])),"Pending","Completed"))</f>
        <v>Pending</v>
      </c>
    </row>
    <row r="174" spans="1:15" x14ac:dyDescent="0.3">
      <c r="A174" s="5" t="s">
        <v>219</v>
      </c>
      <c r="B174" s="6">
        <v>45711</v>
      </c>
      <c r="C174" s="7" t="str">
        <f>TEXT([1]!Table1[[#This Row],[Date]],"dddd")</f>
        <v>Friday</v>
      </c>
      <c r="D174" s="7" t="s">
        <v>9</v>
      </c>
      <c r="E174" s="7">
        <v>2025</v>
      </c>
      <c r="F174" s="7" t="s">
        <v>2</v>
      </c>
      <c r="G174" s="7" t="s">
        <v>39</v>
      </c>
      <c r="H174" s="7" t="s">
        <v>40</v>
      </c>
      <c r="I174" s="7">
        <v>1</v>
      </c>
      <c r="J174" s="7">
        <v>15</v>
      </c>
      <c r="K174" s="7">
        <v>15</v>
      </c>
      <c r="L174" s="7" t="s">
        <v>50</v>
      </c>
      <c r="M174" s="7" t="s">
        <v>6</v>
      </c>
      <c r="N174" s="7" t="s">
        <v>211</v>
      </c>
      <c r="O174" s="8" t="str">
        <f>IF(ISNUMBER(SEARCH("cancel",[1]!Table1[[#This Row],[Status]])),"Cancelled",
IF(ISNUMBER(SEARCH("pend",[1]!Table1[[#This Row],[Status]])),"Pending","Completed"))</f>
        <v>Pending</v>
      </c>
    </row>
    <row r="175" spans="1:15" x14ac:dyDescent="0.3">
      <c r="A175" s="1" t="s">
        <v>220</v>
      </c>
      <c r="B175" s="2">
        <v>45695</v>
      </c>
      <c r="C175" s="3" t="str">
        <f>TEXT([1]!Table1[[#This Row],[Date]],"dddd")</f>
        <v>Sunday</v>
      </c>
      <c r="D175" s="3" t="s">
        <v>9</v>
      </c>
      <c r="E175" s="3">
        <v>2025</v>
      </c>
      <c r="F175" s="3" t="s">
        <v>60</v>
      </c>
      <c r="G175" s="3" t="s">
        <v>52</v>
      </c>
      <c r="H175" s="3" t="s">
        <v>53</v>
      </c>
      <c r="I175" s="3">
        <v>1</v>
      </c>
      <c r="J175" s="3">
        <v>20</v>
      </c>
      <c r="K175" s="3">
        <v>20</v>
      </c>
      <c r="L175" s="3" t="s">
        <v>5</v>
      </c>
      <c r="M175" s="3" t="s">
        <v>36</v>
      </c>
      <c r="N175" s="3" t="s">
        <v>211</v>
      </c>
      <c r="O175" s="4" t="str">
        <f>IF(ISNUMBER(SEARCH("cancel",[1]!Table1[[#This Row],[Status]])),"Cancelled",
IF(ISNUMBER(SEARCH("pend",[1]!Table1[[#This Row],[Status]])),"Pending","Completed"))</f>
        <v>Pending</v>
      </c>
    </row>
    <row r="176" spans="1:15" x14ac:dyDescent="0.3">
      <c r="A176" s="5" t="s">
        <v>221</v>
      </c>
      <c r="B176" s="6">
        <v>45740</v>
      </c>
      <c r="C176" s="7" t="str">
        <f>TEXT([1]!Table1[[#This Row],[Date]],"dddd")</f>
        <v>Friday</v>
      </c>
      <c r="D176" s="7" t="s">
        <v>1</v>
      </c>
      <c r="E176" s="7">
        <v>2025</v>
      </c>
      <c r="F176" s="7" t="s">
        <v>10</v>
      </c>
      <c r="G176" s="7" t="s">
        <v>15</v>
      </c>
      <c r="H176" s="7" t="s">
        <v>16</v>
      </c>
      <c r="I176" s="7">
        <v>1</v>
      </c>
      <c r="J176" s="7">
        <v>500</v>
      </c>
      <c r="K176" s="7">
        <v>500</v>
      </c>
      <c r="L176" s="7" t="s">
        <v>50</v>
      </c>
      <c r="M176" s="7" t="s">
        <v>41</v>
      </c>
      <c r="N176" s="7" t="s">
        <v>211</v>
      </c>
      <c r="O176" s="8" t="str">
        <f>IF(ISNUMBER(SEARCH("cancel",[1]!Table1[[#This Row],[Status]])),"Cancelled",
IF(ISNUMBER(SEARCH("pend",[1]!Table1[[#This Row],[Status]])),"Pending","Completed"))</f>
        <v>Pending</v>
      </c>
    </row>
    <row r="177" spans="1:15" x14ac:dyDescent="0.3">
      <c r="A177" s="1" t="s">
        <v>222</v>
      </c>
      <c r="B177" s="2">
        <v>45726</v>
      </c>
      <c r="C177" s="3" t="str">
        <f>TEXT([1]!Table1[[#This Row],[Date]],"dddd")</f>
        <v>Monday</v>
      </c>
      <c r="D177" s="3" t="s">
        <v>1</v>
      </c>
      <c r="E177" s="3">
        <v>2025</v>
      </c>
      <c r="F177" s="3" t="s">
        <v>19</v>
      </c>
      <c r="G177" s="3" t="s">
        <v>15</v>
      </c>
      <c r="H177" s="3" t="s">
        <v>16</v>
      </c>
      <c r="I177" s="3">
        <v>4</v>
      </c>
      <c r="J177" s="3">
        <v>500</v>
      </c>
      <c r="K177" s="3">
        <v>2000</v>
      </c>
      <c r="L177" s="3" t="s">
        <v>70</v>
      </c>
      <c r="M177" s="3" t="s">
        <v>12</v>
      </c>
      <c r="N177" s="3" t="s">
        <v>211</v>
      </c>
      <c r="O177" s="4" t="str">
        <f>IF(ISNUMBER(SEARCH("cancel",[1]!Table1[[#This Row],[Status]])),"Cancelled",
IF(ISNUMBER(SEARCH("pend",[1]!Table1[[#This Row],[Status]])),"Pending","Completed"))</f>
        <v>Pending</v>
      </c>
    </row>
    <row r="178" spans="1:15" x14ac:dyDescent="0.3">
      <c r="A178" s="5" t="s">
        <v>223</v>
      </c>
      <c r="B178" s="6">
        <v>45749</v>
      </c>
      <c r="C178" s="7" t="str">
        <f>TEXT([1]!Table1[[#This Row],[Date]],"dddd")</f>
        <v>Monday</v>
      </c>
      <c r="D178" s="7" t="s">
        <v>59</v>
      </c>
      <c r="E178" s="7">
        <v>2025</v>
      </c>
      <c r="F178" s="7" t="s">
        <v>45</v>
      </c>
      <c r="G178" s="7" t="s">
        <v>52</v>
      </c>
      <c r="H178" s="7" t="s">
        <v>53</v>
      </c>
      <c r="I178" s="7">
        <v>5</v>
      </c>
      <c r="J178" s="7">
        <v>20</v>
      </c>
      <c r="K178" s="7">
        <v>100</v>
      </c>
      <c r="L178" s="7" t="s">
        <v>5</v>
      </c>
      <c r="M178" s="7" t="s">
        <v>36</v>
      </c>
      <c r="N178" s="7" t="s">
        <v>211</v>
      </c>
      <c r="O178" s="8" t="str">
        <f>IF(ISNUMBER(SEARCH("cancel",[1]!Table1[[#This Row],[Status]])),"Cancelled",
IF(ISNUMBER(SEARCH("pend",[1]!Table1[[#This Row],[Status]])),"Pending","Completed"))</f>
        <v>Pending</v>
      </c>
    </row>
    <row r="179" spans="1:15" x14ac:dyDescent="0.3">
      <c r="A179" s="1" t="s">
        <v>224</v>
      </c>
      <c r="B179" s="2">
        <v>45742</v>
      </c>
      <c r="C179" s="3" t="str">
        <f>TEXT([1]!Table1[[#This Row],[Date]],"dddd")</f>
        <v>Wednesday</v>
      </c>
      <c r="D179" s="3" t="s">
        <v>1</v>
      </c>
      <c r="E179" s="3">
        <v>2025</v>
      </c>
      <c r="F179" s="3" t="s">
        <v>14</v>
      </c>
      <c r="G179" s="3" t="s">
        <v>15</v>
      </c>
      <c r="H179" s="3" t="s">
        <v>61</v>
      </c>
      <c r="I179" s="3">
        <v>1</v>
      </c>
      <c r="J179" s="3">
        <v>150</v>
      </c>
      <c r="K179" s="3">
        <v>150</v>
      </c>
      <c r="L179" s="3" t="s">
        <v>70</v>
      </c>
      <c r="M179" s="3" t="s">
        <v>12</v>
      </c>
      <c r="N179" s="3" t="s">
        <v>211</v>
      </c>
      <c r="O179" s="4" t="str">
        <f>IF(ISNUMBER(SEARCH("cancel",[1]!Table1[[#This Row],[Status]])),"Cancelled",
IF(ISNUMBER(SEARCH("pend",[1]!Table1[[#This Row],[Status]])),"Pending","Completed"))</f>
        <v>Pending</v>
      </c>
    </row>
    <row r="180" spans="1:15" x14ac:dyDescent="0.3">
      <c r="A180" s="5" t="s">
        <v>225</v>
      </c>
      <c r="B180" s="6">
        <v>45696</v>
      </c>
      <c r="C180" s="7" t="str">
        <f>TEXT([1]!Table1[[#This Row],[Date]],"dddd")</f>
        <v>Wednesday</v>
      </c>
      <c r="D180" s="7" t="s">
        <v>9</v>
      </c>
      <c r="E180" s="7">
        <v>2025</v>
      </c>
      <c r="F180" s="7" t="s">
        <v>45</v>
      </c>
      <c r="G180" s="7" t="s">
        <v>52</v>
      </c>
      <c r="H180" s="7" t="s">
        <v>53</v>
      </c>
      <c r="I180" s="7">
        <v>4</v>
      </c>
      <c r="J180" s="7">
        <v>20</v>
      </c>
      <c r="K180" s="7">
        <v>80</v>
      </c>
      <c r="L180" s="7" t="s">
        <v>11</v>
      </c>
      <c r="M180" s="7" t="s">
        <v>26</v>
      </c>
      <c r="N180" s="7" t="s">
        <v>211</v>
      </c>
      <c r="O180" s="8" t="str">
        <f>IF(ISNUMBER(SEARCH("cancel",[1]!Table1[[#This Row],[Status]])),"Cancelled",
IF(ISNUMBER(SEARCH("pend",[1]!Table1[[#This Row],[Status]])),"Pending","Completed"))</f>
        <v>Pending</v>
      </c>
    </row>
    <row r="181" spans="1:15" x14ac:dyDescent="0.3">
      <c r="A181" s="1" t="s">
        <v>226</v>
      </c>
      <c r="B181" s="2">
        <v>45740</v>
      </c>
      <c r="C181" s="3" t="str">
        <f>TEXT([1]!Table1[[#This Row],[Date]],"dddd")</f>
        <v>Saturday</v>
      </c>
      <c r="D181" s="3" t="s">
        <v>1</v>
      </c>
      <c r="E181" s="3">
        <v>2025</v>
      </c>
      <c r="F181" s="3" t="s">
        <v>28</v>
      </c>
      <c r="G181" s="3" t="s">
        <v>15</v>
      </c>
      <c r="H181" s="3" t="s">
        <v>61</v>
      </c>
      <c r="I181" s="3">
        <v>1</v>
      </c>
      <c r="J181" s="3">
        <v>150</v>
      </c>
      <c r="K181" s="3">
        <v>150</v>
      </c>
      <c r="L181" s="3" t="s">
        <v>50</v>
      </c>
      <c r="M181" s="3" t="s">
        <v>12</v>
      </c>
      <c r="N181" s="3" t="s">
        <v>211</v>
      </c>
      <c r="O181" s="4" t="str">
        <f>IF(ISNUMBER(SEARCH("cancel",[1]!Table1[[#This Row],[Status]])),"Cancelled",
IF(ISNUMBER(SEARCH("pend",[1]!Table1[[#This Row],[Status]])),"Pending","Completed"))</f>
        <v>Pending</v>
      </c>
    </row>
    <row r="182" spans="1:15" x14ac:dyDescent="0.3">
      <c r="A182" s="5" t="s">
        <v>227</v>
      </c>
      <c r="B182" s="6">
        <v>45731</v>
      </c>
      <c r="C182" s="7" t="str">
        <f>TEXT([1]!Table1[[#This Row],[Date]],"dddd")</f>
        <v>Monday</v>
      </c>
      <c r="D182" s="7" t="s">
        <v>1</v>
      </c>
      <c r="E182" s="7">
        <v>2025</v>
      </c>
      <c r="F182" s="7" t="s">
        <v>60</v>
      </c>
      <c r="G182" s="7" t="s">
        <v>20</v>
      </c>
      <c r="H182" s="7" t="s">
        <v>24</v>
      </c>
      <c r="I182" s="7">
        <v>3</v>
      </c>
      <c r="J182" s="7">
        <v>1200</v>
      </c>
      <c r="K182" s="7">
        <v>3600</v>
      </c>
      <c r="L182" s="7" t="s">
        <v>5</v>
      </c>
      <c r="M182" s="7" t="s">
        <v>12</v>
      </c>
      <c r="N182" s="7" t="s">
        <v>211</v>
      </c>
      <c r="O182" s="8" t="str">
        <f>IF(ISNUMBER(SEARCH("cancel",[1]!Table1[[#This Row],[Status]])),"Cancelled",
IF(ISNUMBER(SEARCH("pend",[1]!Table1[[#This Row],[Status]])),"Pending","Completed"))</f>
        <v>Pending</v>
      </c>
    </row>
    <row r="183" spans="1:15" x14ac:dyDescent="0.3">
      <c r="A183" s="1" t="s">
        <v>228</v>
      </c>
      <c r="B183" s="2">
        <v>45712</v>
      </c>
      <c r="C183" s="3" t="str">
        <f>TEXT([1]!Table1[[#This Row],[Date]],"dddd")</f>
        <v>Saturday</v>
      </c>
      <c r="D183" s="3" t="s">
        <v>9</v>
      </c>
      <c r="E183" s="3">
        <v>2025</v>
      </c>
      <c r="F183" s="3" t="s">
        <v>10</v>
      </c>
      <c r="G183" s="3" t="s">
        <v>15</v>
      </c>
      <c r="H183" s="3" t="s">
        <v>83</v>
      </c>
      <c r="I183" s="3">
        <v>3</v>
      </c>
      <c r="J183" s="3">
        <v>800</v>
      </c>
      <c r="K183" s="3">
        <v>2400</v>
      </c>
      <c r="L183" s="3" t="s">
        <v>17</v>
      </c>
      <c r="M183" s="3" t="s">
        <v>36</v>
      </c>
      <c r="N183" s="3" t="s">
        <v>211</v>
      </c>
      <c r="O183" s="4" t="str">
        <f>IF(ISNUMBER(SEARCH("cancel",[1]!Table1[[#This Row],[Status]])),"Cancelled",
IF(ISNUMBER(SEARCH("pend",[1]!Table1[[#This Row],[Status]])),"Pending","Completed"))</f>
        <v>Pending</v>
      </c>
    </row>
    <row r="184" spans="1:15" x14ac:dyDescent="0.3">
      <c r="A184" s="5" t="s">
        <v>229</v>
      </c>
      <c r="B184" s="6">
        <v>45731</v>
      </c>
      <c r="C184" s="7" t="str">
        <f>TEXT([1]!Table1[[#This Row],[Date]],"dddd")</f>
        <v>Monday</v>
      </c>
      <c r="D184" s="7" t="s">
        <v>1</v>
      </c>
      <c r="E184" s="7">
        <v>2025</v>
      </c>
      <c r="F184" s="7" t="s">
        <v>49</v>
      </c>
      <c r="G184" s="7" t="s">
        <v>15</v>
      </c>
      <c r="H184" s="7" t="s">
        <v>61</v>
      </c>
      <c r="I184" s="7">
        <v>3</v>
      </c>
      <c r="J184" s="7">
        <v>150</v>
      </c>
      <c r="K184" s="7">
        <v>450</v>
      </c>
      <c r="L184" s="7" t="s">
        <v>25</v>
      </c>
      <c r="M184" s="7" t="s">
        <v>12</v>
      </c>
      <c r="N184" s="7" t="s">
        <v>211</v>
      </c>
      <c r="O184" s="8" t="str">
        <f>IF(ISNUMBER(SEARCH("cancel",[1]!Table1[[#This Row],[Status]])),"Cancelled",
IF(ISNUMBER(SEARCH("pend",[1]!Table1[[#This Row],[Status]])),"Pending","Completed"))</f>
        <v>Pending</v>
      </c>
    </row>
    <row r="185" spans="1:15" x14ac:dyDescent="0.3">
      <c r="A185" s="1" t="s">
        <v>230</v>
      </c>
      <c r="B185" s="2">
        <v>45728</v>
      </c>
      <c r="C185" s="3" t="str">
        <f>TEXT([1]!Table1[[#This Row],[Date]],"dddd")</f>
        <v>Saturday</v>
      </c>
      <c r="D185" s="3" t="s">
        <v>1</v>
      </c>
      <c r="E185" s="3">
        <v>2025</v>
      </c>
      <c r="F185" s="3" t="s">
        <v>45</v>
      </c>
      <c r="G185" s="3" t="s">
        <v>39</v>
      </c>
      <c r="H185" s="3" t="s">
        <v>40</v>
      </c>
      <c r="I185" s="3">
        <v>5</v>
      </c>
      <c r="J185" s="3">
        <v>15</v>
      </c>
      <c r="K185" s="3">
        <v>75</v>
      </c>
      <c r="L185" s="3" t="s">
        <v>31</v>
      </c>
      <c r="M185" s="3" t="s">
        <v>41</v>
      </c>
      <c r="N185" s="3" t="s">
        <v>211</v>
      </c>
      <c r="O185" s="4" t="str">
        <f>IF(ISNUMBER(SEARCH("cancel",[1]!Table1[[#This Row],[Status]])),"Cancelled",
IF(ISNUMBER(SEARCH("pend",[1]!Table1[[#This Row],[Status]])),"Pending","Completed"))</f>
        <v>Pending</v>
      </c>
    </row>
    <row r="186" spans="1:15" x14ac:dyDescent="0.3">
      <c r="A186" s="5" t="s">
        <v>231</v>
      </c>
      <c r="B186" s="6">
        <v>45701</v>
      </c>
      <c r="C186" s="7" t="str">
        <f>TEXT([1]!Table1[[#This Row],[Date]],"dddd")</f>
        <v>Wednesday</v>
      </c>
      <c r="D186" s="7" t="s">
        <v>9</v>
      </c>
      <c r="E186" s="7">
        <v>2025</v>
      </c>
      <c r="F186" s="7" t="s">
        <v>14</v>
      </c>
      <c r="G186" s="7" t="s">
        <v>20</v>
      </c>
      <c r="H186" s="7" t="s">
        <v>24</v>
      </c>
      <c r="I186" s="7">
        <v>4</v>
      </c>
      <c r="J186" s="7">
        <v>1200</v>
      </c>
      <c r="K186" s="7">
        <v>4800</v>
      </c>
      <c r="L186" s="7" t="s">
        <v>11</v>
      </c>
      <c r="M186" s="7" t="s">
        <v>6</v>
      </c>
      <c r="N186" s="7" t="s">
        <v>211</v>
      </c>
      <c r="O186" s="8" t="str">
        <f>IF(ISNUMBER(SEARCH("cancel",[1]!Table1[[#This Row],[Status]])),"Cancelled",
IF(ISNUMBER(SEARCH("pend",[1]!Table1[[#This Row],[Status]])),"Pending","Completed"))</f>
        <v>Pending</v>
      </c>
    </row>
    <row r="187" spans="1:15" x14ac:dyDescent="0.3">
      <c r="A187" s="1" t="s">
        <v>232</v>
      </c>
      <c r="B187" s="2">
        <v>45732</v>
      </c>
      <c r="C187" s="3" t="str">
        <f>TEXT([1]!Table1[[#This Row],[Date]],"dddd")</f>
        <v>Thursday</v>
      </c>
      <c r="D187" s="3" t="s">
        <v>1</v>
      </c>
      <c r="E187" s="3">
        <v>2025</v>
      </c>
      <c r="F187" s="3" t="s">
        <v>2</v>
      </c>
      <c r="G187" s="3" t="s">
        <v>39</v>
      </c>
      <c r="H187" s="3" t="s">
        <v>40</v>
      </c>
      <c r="I187" s="3">
        <v>3</v>
      </c>
      <c r="J187" s="3">
        <v>15</v>
      </c>
      <c r="K187" s="3">
        <v>45</v>
      </c>
      <c r="L187" s="3" t="s">
        <v>17</v>
      </c>
      <c r="M187" s="3" t="s">
        <v>41</v>
      </c>
      <c r="N187" s="3" t="s">
        <v>211</v>
      </c>
      <c r="O187" s="4" t="str">
        <f>IF(ISNUMBER(SEARCH("cancel",[1]!Table1[[#This Row],[Status]])),"Cancelled",
IF(ISNUMBER(SEARCH("pend",[1]!Table1[[#This Row],[Status]])),"Pending","Completed"))</f>
        <v>Pending</v>
      </c>
    </row>
    <row r="188" spans="1:15" x14ac:dyDescent="0.3">
      <c r="A188" s="5" t="s">
        <v>233</v>
      </c>
      <c r="B188" s="6">
        <v>45730</v>
      </c>
      <c r="C188" s="7" t="str">
        <f>TEXT([1]!Table1[[#This Row],[Date]],"dddd")</f>
        <v>Sunday</v>
      </c>
      <c r="D188" s="7" t="s">
        <v>1</v>
      </c>
      <c r="E188" s="7">
        <v>2025</v>
      </c>
      <c r="F188" s="7" t="s">
        <v>19</v>
      </c>
      <c r="G188" s="7" t="s">
        <v>15</v>
      </c>
      <c r="H188" s="7" t="s">
        <v>61</v>
      </c>
      <c r="I188" s="7">
        <v>2</v>
      </c>
      <c r="J188" s="7">
        <v>150</v>
      </c>
      <c r="K188" s="7">
        <v>300</v>
      </c>
      <c r="L188" s="7" t="s">
        <v>11</v>
      </c>
      <c r="M188" s="7" t="s">
        <v>26</v>
      </c>
      <c r="N188" s="7" t="s">
        <v>211</v>
      </c>
      <c r="O188" s="8" t="str">
        <f>IF(ISNUMBER(SEARCH("cancel",[1]!Table1[[#This Row],[Status]])),"Cancelled",
IF(ISNUMBER(SEARCH("pend",[1]!Table1[[#This Row],[Status]])),"Pending","Completed"))</f>
        <v>Pending</v>
      </c>
    </row>
    <row r="189" spans="1:15" x14ac:dyDescent="0.3">
      <c r="A189" s="1" t="s">
        <v>234</v>
      </c>
      <c r="B189" s="2">
        <v>45747</v>
      </c>
      <c r="C189" s="3" t="str">
        <f>TEXT([1]!Table1[[#This Row],[Date]],"dddd")</f>
        <v>Friday</v>
      </c>
      <c r="D189" s="3" t="s">
        <v>1</v>
      </c>
      <c r="E189" s="3">
        <v>2025</v>
      </c>
      <c r="F189" s="3" t="s">
        <v>28</v>
      </c>
      <c r="G189" s="3" t="s">
        <v>15</v>
      </c>
      <c r="H189" s="3" t="s">
        <v>29</v>
      </c>
      <c r="I189" s="3">
        <v>3</v>
      </c>
      <c r="J189" s="3">
        <v>100</v>
      </c>
      <c r="K189" s="3">
        <v>300</v>
      </c>
      <c r="L189" s="3" t="s">
        <v>5</v>
      </c>
      <c r="M189" s="3" t="s">
        <v>36</v>
      </c>
      <c r="N189" s="3" t="s">
        <v>211</v>
      </c>
      <c r="O189" s="4" t="str">
        <f>IF(ISNUMBER(SEARCH("cancel",[1]!Table1[[#This Row],[Status]])),"Cancelled",
IF(ISNUMBER(SEARCH("pend",[1]!Table1[[#This Row],[Status]])),"Pending","Completed"))</f>
        <v>Pending</v>
      </c>
    </row>
    <row r="190" spans="1:15" x14ac:dyDescent="0.3">
      <c r="A190" s="5" t="s">
        <v>235</v>
      </c>
      <c r="B190" s="6">
        <v>45713</v>
      </c>
      <c r="C190" s="7" t="str">
        <f>TEXT([1]!Table1[[#This Row],[Date]],"dddd")</f>
        <v>Monday</v>
      </c>
      <c r="D190" s="7" t="s">
        <v>9</v>
      </c>
      <c r="E190" s="7">
        <v>2025</v>
      </c>
      <c r="F190" s="7" t="s">
        <v>49</v>
      </c>
      <c r="G190" s="7" t="s">
        <v>20</v>
      </c>
      <c r="H190" s="7" t="s">
        <v>24</v>
      </c>
      <c r="I190" s="7">
        <v>4</v>
      </c>
      <c r="J190" s="7">
        <v>1200</v>
      </c>
      <c r="K190" s="7">
        <v>4800</v>
      </c>
      <c r="L190" s="7" t="s">
        <v>25</v>
      </c>
      <c r="M190" s="7" t="s">
        <v>12</v>
      </c>
      <c r="N190" s="7" t="s">
        <v>211</v>
      </c>
      <c r="O190" s="8" t="str">
        <f>IF(ISNUMBER(SEARCH("cancel",[1]!Table1[[#This Row],[Status]])),"Cancelled",
IF(ISNUMBER(SEARCH("pend",[1]!Table1[[#This Row],[Status]])),"Pending","Completed"))</f>
        <v>Pending</v>
      </c>
    </row>
    <row r="191" spans="1:15" x14ac:dyDescent="0.3">
      <c r="A191" s="1" t="s">
        <v>236</v>
      </c>
      <c r="B191" s="2">
        <v>45732</v>
      </c>
      <c r="C191" s="3" t="str">
        <f>TEXT([1]!Table1[[#This Row],[Date]],"dddd")</f>
        <v>Tuesday</v>
      </c>
      <c r="D191" s="3" t="s">
        <v>1</v>
      </c>
      <c r="E191" s="3">
        <v>2025</v>
      </c>
      <c r="F191" s="3" t="s">
        <v>10</v>
      </c>
      <c r="G191" s="3" t="s">
        <v>15</v>
      </c>
      <c r="H191" s="3" t="s">
        <v>61</v>
      </c>
      <c r="I191" s="3">
        <v>5</v>
      </c>
      <c r="J191" s="3">
        <v>150</v>
      </c>
      <c r="K191" s="3">
        <v>750</v>
      </c>
      <c r="L191" s="3" t="s">
        <v>11</v>
      </c>
      <c r="M191" s="3" t="s">
        <v>12</v>
      </c>
      <c r="N191" s="3" t="s">
        <v>211</v>
      </c>
      <c r="O191" s="4" t="str">
        <f>IF(ISNUMBER(SEARCH("cancel",[1]!Table1[[#This Row],[Status]])),"Cancelled",
IF(ISNUMBER(SEARCH("pend",[1]!Table1[[#This Row],[Status]])),"Pending","Completed"))</f>
        <v>Pending</v>
      </c>
    </row>
    <row r="192" spans="1:15" x14ac:dyDescent="0.3">
      <c r="A192" s="5" t="s">
        <v>237</v>
      </c>
      <c r="B192" s="6">
        <v>45723</v>
      </c>
      <c r="C192" s="7" t="str">
        <f>TEXT([1]!Table1[[#This Row],[Date]],"dddd")</f>
        <v>Sunday</v>
      </c>
      <c r="D192" s="7" t="s">
        <v>1</v>
      </c>
      <c r="E192" s="7">
        <v>2025</v>
      </c>
      <c r="F192" s="7" t="s">
        <v>60</v>
      </c>
      <c r="G192" s="7" t="s">
        <v>15</v>
      </c>
      <c r="H192" s="7" t="s">
        <v>83</v>
      </c>
      <c r="I192" s="7">
        <v>3</v>
      </c>
      <c r="J192" s="7">
        <v>800</v>
      </c>
      <c r="K192" s="7">
        <v>2400</v>
      </c>
      <c r="L192" s="7" t="s">
        <v>50</v>
      </c>
      <c r="M192" s="7" t="s">
        <v>41</v>
      </c>
      <c r="N192" s="7" t="s">
        <v>211</v>
      </c>
      <c r="O192" s="8" t="str">
        <f>IF(ISNUMBER(SEARCH("cancel",[1]!Table1[[#This Row],[Status]])),"Cancelled",
IF(ISNUMBER(SEARCH("pend",[1]!Table1[[#This Row],[Status]])),"Pending","Completed"))</f>
        <v>Pending</v>
      </c>
    </row>
    <row r="193" spans="1:15" x14ac:dyDescent="0.3">
      <c r="A193" s="1" t="s">
        <v>238</v>
      </c>
      <c r="B193" s="2">
        <v>45714</v>
      </c>
      <c r="C193" s="3" t="str">
        <f>TEXT([1]!Table1[[#This Row],[Date]],"dddd")</f>
        <v>Friday</v>
      </c>
      <c r="D193" s="3" t="s">
        <v>9</v>
      </c>
      <c r="E193" s="3">
        <v>2025</v>
      </c>
      <c r="F193" s="3" t="s">
        <v>60</v>
      </c>
      <c r="G193" s="3" t="s">
        <v>15</v>
      </c>
      <c r="H193" s="3" t="s">
        <v>29</v>
      </c>
      <c r="I193" s="3">
        <v>2</v>
      </c>
      <c r="J193" s="3">
        <v>100</v>
      </c>
      <c r="K193" s="3">
        <v>200</v>
      </c>
      <c r="L193" s="3" t="s">
        <v>25</v>
      </c>
      <c r="M193" s="3" t="s">
        <v>26</v>
      </c>
      <c r="N193" s="3" t="s">
        <v>211</v>
      </c>
      <c r="O193" s="4" t="str">
        <f>IF(ISNUMBER(SEARCH("cancel",[1]!Table1[[#This Row],[Status]])),"Cancelled",
IF(ISNUMBER(SEARCH("pend",[1]!Table1[[#This Row],[Status]])),"Pending","Completed"))</f>
        <v>Pending</v>
      </c>
    </row>
    <row r="194" spans="1:15" x14ac:dyDescent="0.3">
      <c r="A194" s="5" t="s">
        <v>239</v>
      </c>
      <c r="B194" s="6">
        <v>45711</v>
      </c>
      <c r="C194" s="7" t="str">
        <f>TEXT([1]!Table1[[#This Row],[Date]],"dddd")</f>
        <v>Wednesday</v>
      </c>
      <c r="D194" s="7" t="s">
        <v>9</v>
      </c>
      <c r="E194" s="7">
        <v>2025</v>
      </c>
      <c r="F194" s="7" t="s">
        <v>35</v>
      </c>
      <c r="G194" s="7" t="s">
        <v>3</v>
      </c>
      <c r="H194" s="7" t="s">
        <v>4</v>
      </c>
      <c r="I194" s="7">
        <v>4</v>
      </c>
      <c r="J194" s="7">
        <v>60</v>
      </c>
      <c r="K194" s="7">
        <v>240</v>
      </c>
      <c r="L194" s="7" t="s">
        <v>17</v>
      </c>
      <c r="M194" s="7" t="s">
        <v>26</v>
      </c>
      <c r="N194" s="7" t="s">
        <v>211</v>
      </c>
      <c r="O194" s="8" t="str">
        <f>IF(ISNUMBER(SEARCH("cancel",[1]!Table1[[#This Row],[Status]])),"Cancelled",
IF(ISNUMBER(SEARCH("pend",[1]!Table1[[#This Row],[Status]])),"Pending","Completed"))</f>
        <v>Pending</v>
      </c>
    </row>
    <row r="195" spans="1:15" x14ac:dyDescent="0.3">
      <c r="A195" s="1" t="s">
        <v>240</v>
      </c>
      <c r="B195" s="2">
        <v>45694</v>
      </c>
      <c r="C195" s="3" t="str">
        <f>TEXT([1]!Table1[[#This Row],[Date]],"dddd")</f>
        <v>Sunday</v>
      </c>
      <c r="D195" s="3" t="s">
        <v>9</v>
      </c>
      <c r="E195" s="3">
        <v>2025</v>
      </c>
      <c r="F195" s="3" t="s">
        <v>28</v>
      </c>
      <c r="G195" s="3" t="s">
        <v>20</v>
      </c>
      <c r="H195" s="3" t="s">
        <v>24</v>
      </c>
      <c r="I195" s="3">
        <v>2</v>
      </c>
      <c r="J195" s="3">
        <v>1200</v>
      </c>
      <c r="K195" s="3">
        <v>2400</v>
      </c>
      <c r="L195" s="3" t="s">
        <v>70</v>
      </c>
      <c r="M195" s="3" t="s">
        <v>36</v>
      </c>
      <c r="N195" s="3" t="s">
        <v>211</v>
      </c>
      <c r="O195" s="4" t="str">
        <f>IF(ISNUMBER(SEARCH("cancel",[1]!Table1[[#This Row],[Status]])),"Cancelled",
IF(ISNUMBER(SEARCH("pend",[1]!Table1[[#This Row],[Status]])),"Pending","Completed"))</f>
        <v>Pending</v>
      </c>
    </row>
    <row r="196" spans="1:15" x14ac:dyDescent="0.3">
      <c r="A196" s="5" t="s">
        <v>241</v>
      </c>
      <c r="B196" s="6">
        <v>45691</v>
      </c>
      <c r="C196" s="7" t="str">
        <f>TEXT([1]!Table1[[#This Row],[Date]],"dddd")</f>
        <v>Thursday</v>
      </c>
      <c r="D196" s="7" t="s">
        <v>9</v>
      </c>
      <c r="E196" s="7">
        <v>2025</v>
      </c>
      <c r="F196" s="7" t="s">
        <v>60</v>
      </c>
      <c r="G196" s="7" t="s">
        <v>15</v>
      </c>
      <c r="H196" s="7" t="s">
        <v>83</v>
      </c>
      <c r="I196" s="7">
        <v>4</v>
      </c>
      <c r="J196" s="7">
        <v>800</v>
      </c>
      <c r="K196" s="7">
        <v>3200</v>
      </c>
      <c r="L196" s="7" t="s">
        <v>50</v>
      </c>
      <c r="M196" s="7" t="s">
        <v>6</v>
      </c>
      <c r="N196" s="7" t="s">
        <v>211</v>
      </c>
      <c r="O196" s="8" t="str">
        <f>IF(ISNUMBER(SEARCH("cancel",[1]!Table1[[#This Row],[Status]])),"Cancelled",
IF(ISNUMBER(SEARCH("pend",[1]!Table1[[#This Row],[Status]])),"Pending","Completed"))</f>
        <v>Pending</v>
      </c>
    </row>
    <row r="197" spans="1:15" x14ac:dyDescent="0.3">
      <c r="A197" s="1" t="s">
        <v>242</v>
      </c>
      <c r="B197" s="2">
        <v>45741</v>
      </c>
      <c r="C197" s="3" t="str">
        <f>TEXT([1]!Table1[[#This Row],[Date]],"dddd")</f>
        <v>Monday</v>
      </c>
      <c r="D197" s="3" t="s">
        <v>1</v>
      </c>
      <c r="E197" s="3">
        <v>2025</v>
      </c>
      <c r="F197" s="3" t="s">
        <v>33</v>
      </c>
      <c r="G197" s="3" t="s">
        <v>39</v>
      </c>
      <c r="H197" s="3" t="s">
        <v>40</v>
      </c>
      <c r="I197" s="3">
        <v>5</v>
      </c>
      <c r="J197" s="3">
        <v>15</v>
      </c>
      <c r="K197" s="3">
        <v>75</v>
      </c>
      <c r="L197" s="3" t="s">
        <v>47</v>
      </c>
      <c r="M197" s="3" t="s">
        <v>41</v>
      </c>
      <c r="N197" s="3" t="s">
        <v>211</v>
      </c>
      <c r="O197" s="4" t="str">
        <f>IF(ISNUMBER(SEARCH("cancel",[1]!Table1[[#This Row],[Status]])),"Cancelled",
IF(ISNUMBER(SEARCH("pend",[1]!Table1[[#This Row],[Status]])),"Pending","Completed"))</f>
        <v>Pending</v>
      </c>
    </row>
    <row r="198" spans="1:15" x14ac:dyDescent="0.3">
      <c r="A198" s="5" t="s">
        <v>243</v>
      </c>
      <c r="B198" s="6">
        <v>45702</v>
      </c>
      <c r="C198" s="7" t="str">
        <f>TEXT([1]!Table1[[#This Row],[Date]],"dddd")</f>
        <v>Tuesday</v>
      </c>
      <c r="D198" s="7" t="s">
        <v>9</v>
      </c>
      <c r="E198" s="7">
        <v>2025</v>
      </c>
      <c r="F198" s="7" t="s">
        <v>28</v>
      </c>
      <c r="G198" s="7" t="s">
        <v>15</v>
      </c>
      <c r="H198" s="7" t="s">
        <v>61</v>
      </c>
      <c r="I198" s="7">
        <v>2</v>
      </c>
      <c r="J198" s="7">
        <v>150</v>
      </c>
      <c r="K198" s="7">
        <v>300</v>
      </c>
      <c r="L198" s="7" t="s">
        <v>22</v>
      </c>
      <c r="M198" s="7" t="s">
        <v>41</v>
      </c>
      <c r="N198" s="7" t="s">
        <v>211</v>
      </c>
      <c r="O198" s="8" t="str">
        <f>IF(ISNUMBER(SEARCH("cancel",[1]!Table1[[#This Row],[Status]])),"Cancelled",
IF(ISNUMBER(SEARCH("pend",[1]!Table1[[#This Row],[Status]])),"Pending","Completed"))</f>
        <v>Pending</v>
      </c>
    </row>
    <row r="199" spans="1:15" x14ac:dyDescent="0.3">
      <c r="A199" s="1" t="s">
        <v>244</v>
      </c>
      <c r="B199" s="2">
        <v>45708</v>
      </c>
      <c r="C199" s="3" t="str">
        <f>TEXT([1]!Table1[[#This Row],[Date]],"dddd")</f>
        <v>Friday</v>
      </c>
      <c r="D199" s="3" t="s">
        <v>9</v>
      </c>
      <c r="E199" s="3">
        <v>2025</v>
      </c>
      <c r="F199" s="3" t="s">
        <v>10</v>
      </c>
      <c r="G199" s="3" t="s">
        <v>39</v>
      </c>
      <c r="H199" s="3" t="s">
        <v>40</v>
      </c>
      <c r="I199" s="3">
        <v>5</v>
      </c>
      <c r="J199" s="3">
        <v>15</v>
      </c>
      <c r="K199" s="3">
        <v>75</v>
      </c>
      <c r="L199" s="3" t="s">
        <v>11</v>
      </c>
      <c r="M199" s="3" t="s">
        <v>41</v>
      </c>
      <c r="N199" s="3" t="s">
        <v>211</v>
      </c>
      <c r="O199" s="4" t="str">
        <f>IF(ISNUMBER(SEARCH("cancel",[1]!Table1[[#This Row],[Status]])),"Cancelled",
IF(ISNUMBER(SEARCH("pend",[1]!Table1[[#This Row],[Status]])),"Pending","Completed"))</f>
        <v>Pending</v>
      </c>
    </row>
    <row r="200" spans="1:15" x14ac:dyDescent="0.3">
      <c r="A200" s="5" t="s">
        <v>245</v>
      </c>
      <c r="B200" s="6">
        <v>45716</v>
      </c>
      <c r="C200" s="7" t="str">
        <f>TEXT([1]!Table1[[#This Row],[Date]],"dddd")</f>
        <v>Thursday</v>
      </c>
      <c r="D200" s="7" t="s">
        <v>9</v>
      </c>
      <c r="E200" s="7">
        <v>2025</v>
      </c>
      <c r="F200" s="7" t="s">
        <v>49</v>
      </c>
      <c r="G200" s="7" t="s">
        <v>15</v>
      </c>
      <c r="H200" s="7" t="s">
        <v>16</v>
      </c>
      <c r="I200" s="7">
        <v>2</v>
      </c>
      <c r="J200" s="7">
        <v>500</v>
      </c>
      <c r="K200" s="7">
        <v>1000</v>
      </c>
      <c r="L200" s="7" t="s">
        <v>25</v>
      </c>
      <c r="M200" s="7" t="s">
        <v>41</v>
      </c>
      <c r="N200" s="7" t="s">
        <v>211</v>
      </c>
      <c r="O200" s="8" t="str">
        <f>IF(ISNUMBER(SEARCH("cancel",[1]!Table1[[#This Row],[Status]])),"Cancelled",
IF(ISNUMBER(SEARCH("pend",[1]!Table1[[#This Row],[Status]])),"Pending","Completed"))</f>
        <v>Pending</v>
      </c>
    </row>
    <row r="201" spans="1:15" x14ac:dyDescent="0.3">
      <c r="A201" s="1" t="s">
        <v>246</v>
      </c>
      <c r="B201" s="2">
        <v>45730</v>
      </c>
      <c r="C201" s="3" t="str">
        <f>TEXT([1]!Table1[[#This Row],[Date]],"dddd")</f>
        <v>Friday</v>
      </c>
      <c r="D201" s="3" t="s">
        <v>1</v>
      </c>
      <c r="E201" s="3">
        <v>2025</v>
      </c>
      <c r="F201" s="3" t="s">
        <v>19</v>
      </c>
      <c r="G201" s="3" t="s">
        <v>52</v>
      </c>
      <c r="H201" s="3" t="s">
        <v>53</v>
      </c>
      <c r="I201" s="3">
        <v>2</v>
      </c>
      <c r="J201" s="3">
        <v>20</v>
      </c>
      <c r="K201" s="3">
        <v>40</v>
      </c>
      <c r="L201" s="3" t="s">
        <v>47</v>
      </c>
      <c r="M201" s="3" t="s">
        <v>26</v>
      </c>
      <c r="N201" s="3" t="s">
        <v>211</v>
      </c>
      <c r="O201" s="4" t="str">
        <f>IF(ISNUMBER(SEARCH("cancel",[1]!Table1[[#This Row],[Status]])),"Cancelled",
IF(ISNUMBER(SEARCH("pend",[1]!Table1[[#This Row],[Status]])),"Pending","Completed"))</f>
        <v>Pending</v>
      </c>
    </row>
    <row r="202" spans="1:15" x14ac:dyDescent="0.3">
      <c r="A202" s="5" t="s">
        <v>247</v>
      </c>
      <c r="B202" s="6">
        <v>45710</v>
      </c>
      <c r="C202" s="7" t="str">
        <f>TEXT([1]!Table1[[#This Row],[Date]],"dddd")</f>
        <v>Friday</v>
      </c>
      <c r="D202" s="7" t="s">
        <v>9</v>
      </c>
      <c r="E202" s="7">
        <v>2025</v>
      </c>
      <c r="F202" s="7" t="s">
        <v>45</v>
      </c>
      <c r="G202" s="7" t="s">
        <v>52</v>
      </c>
      <c r="H202" s="7" t="s">
        <v>77</v>
      </c>
      <c r="I202" s="7">
        <v>5</v>
      </c>
      <c r="J202" s="7">
        <v>40</v>
      </c>
      <c r="K202" s="7">
        <v>200</v>
      </c>
      <c r="L202" s="7" t="s">
        <v>31</v>
      </c>
      <c r="M202" s="7" t="s">
        <v>26</v>
      </c>
      <c r="N202" s="7" t="s">
        <v>211</v>
      </c>
      <c r="O202" s="8" t="str">
        <f>IF(ISNUMBER(SEARCH("cancel",[1]!Table1[[#This Row],[Status]])),"Cancelled",
IF(ISNUMBER(SEARCH("pend",[1]!Table1[[#This Row],[Status]])),"Pending","Completed"))</f>
        <v>Pending</v>
      </c>
    </row>
    <row r="203" spans="1:15" x14ac:dyDescent="0.3">
      <c r="A203" s="1" t="s">
        <v>248</v>
      </c>
      <c r="B203" s="2">
        <v>45732</v>
      </c>
      <c r="C203" s="3" t="str">
        <f>TEXT([1]!Table1[[#This Row],[Date]],"dddd")</f>
        <v>Saturday</v>
      </c>
      <c r="D203" s="3" t="s">
        <v>1</v>
      </c>
      <c r="E203" s="3">
        <v>2025</v>
      </c>
      <c r="F203" s="3" t="s">
        <v>45</v>
      </c>
      <c r="G203" s="3" t="s">
        <v>52</v>
      </c>
      <c r="H203" s="3" t="s">
        <v>77</v>
      </c>
      <c r="I203" s="3">
        <v>1</v>
      </c>
      <c r="J203" s="3">
        <v>40</v>
      </c>
      <c r="K203" s="3">
        <v>40</v>
      </c>
      <c r="L203" s="3" t="s">
        <v>25</v>
      </c>
      <c r="M203" s="3" t="s">
        <v>41</v>
      </c>
      <c r="N203" s="3" t="s">
        <v>211</v>
      </c>
      <c r="O203" s="4" t="str">
        <f>IF(ISNUMBER(SEARCH("cancel",[1]!Table1[[#This Row],[Status]])),"Cancelled",
IF(ISNUMBER(SEARCH("pend",[1]!Table1[[#This Row],[Status]])),"Pending","Completed"))</f>
        <v>Pending</v>
      </c>
    </row>
    <row r="204" spans="1:15" x14ac:dyDescent="0.3">
      <c r="A204" s="5" t="s">
        <v>249</v>
      </c>
      <c r="B204" s="6">
        <v>45731</v>
      </c>
      <c r="C204" s="7" t="str">
        <f>TEXT([1]!Table1[[#This Row],[Date]],"dddd")</f>
        <v>Sunday</v>
      </c>
      <c r="D204" s="7" t="s">
        <v>1</v>
      </c>
      <c r="E204" s="7">
        <v>2025</v>
      </c>
      <c r="F204" s="7" t="s">
        <v>33</v>
      </c>
      <c r="G204" s="7" t="s">
        <v>52</v>
      </c>
      <c r="H204" s="7" t="s">
        <v>53</v>
      </c>
      <c r="I204" s="7">
        <v>3</v>
      </c>
      <c r="J204" s="7">
        <v>20</v>
      </c>
      <c r="K204" s="7">
        <v>60</v>
      </c>
      <c r="L204" s="7" t="s">
        <v>47</v>
      </c>
      <c r="M204" s="7" t="s">
        <v>41</v>
      </c>
      <c r="N204" s="7" t="s">
        <v>211</v>
      </c>
      <c r="O204" s="8" t="str">
        <f>IF(ISNUMBER(SEARCH("cancel",[1]!Table1[[#This Row],[Status]])),"Cancelled",
IF(ISNUMBER(SEARCH("pend",[1]!Table1[[#This Row],[Status]])),"Pending","Completed"))</f>
        <v>Pending</v>
      </c>
    </row>
    <row r="205" spans="1:15" x14ac:dyDescent="0.3">
      <c r="A205" s="1" t="s">
        <v>250</v>
      </c>
      <c r="B205" s="2">
        <v>45732</v>
      </c>
      <c r="C205" s="3" t="str">
        <f>TEXT([1]!Table1[[#This Row],[Date]],"dddd")</f>
        <v>Saturday</v>
      </c>
      <c r="D205" s="3" t="s">
        <v>1</v>
      </c>
      <c r="E205" s="3">
        <v>2025</v>
      </c>
      <c r="F205" s="3" t="s">
        <v>60</v>
      </c>
      <c r="G205" s="3" t="s">
        <v>15</v>
      </c>
      <c r="H205" s="3" t="s">
        <v>29</v>
      </c>
      <c r="I205" s="3">
        <v>2</v>
      </c>
      <c r="J205" s="3">
        <v>100</v>
      </c>
      <c r="K205" s="3">
        <v>200</v>
      </c>
      <c r="L205" s="3" t="s">
        <v>22</v>
      </c>
      <c r="M205" s="3" t="s">
        <v>6</v>
      </c>
      <c r="N205" s="3" t="s">
        <v>211</v>
      </c>
      <c r="O205" s="4" t="str">
        <f>IF(ISNUMBER(SEARCH("cancel",[1]!Table1[[#This Row],[Status]])),"Cancelled",
IF(ISNUMBER(SEARCH("pend",[1]!Table1[[#This Row],[Status]])),"Pending","Completed"))</f>
        <v>Pending</v>
      </c>
    </row>
    <row r="206" spans="1:15" x14ac:dyDescent="0.3">
      <c r="A206" s="5" t="s">
        <v>251</v>
      </c>
      <c r="B206" s="6">
        <v>45706</v>
      </c>
      <c r="C206" s="7" t="str">
        <f>TEXT([1]!Table1[[#This Row],[Date]],"dddd")</f>
        <v>Sunday</v>
      </c>
      <c r="D206" s="7" t="s">
        <v>9</v>
      </c>
      <c r="E206" s="7">
        <v>2025</v>
      </c>
      <c r="F206" s="7" t="s">
        <v>33</v>
      </c>
      <c r="G206" s="7" t="s">
        <v>15</v>
      </c>
      <c r="H206" s="7" t="s">
        <v>16</v>
      </c>
      <c r="I206" s="7">
        <v>5</v>
      </c>
      <c r="J206" s="7">
        <v>500</v>
      </c>
      <c r="K206" s="7">
        <v>2500</v>
      </c>
      <c r="L206" s="7" t="s">
        <v>31</v>
      </c>
      <c r="M206" s="7" t="s">
        <v>26</v>
      </c>
      <c r="N206" s="7" t="s">
        <v>211</v>
      </c>
      <c r="O206" s="8" t="str">
        <f>IF(ISNUMBER(SEARCH("cancel",[1]!Table1[[#This Row],[Status]])),"Cancelled",
IF(ISNUMBER(SEARCH("pend",[1]!Table1[[#This Row],[Status]])),"Pending","Completed"))</f>
        <v>Pending</v>
      </c>
    </row>
    <row r="207" spans="1:15" x14ac:dyDescent="0.3">
      <c r="A207" s="1" t="s">
        <v>252</v>
      </c>
      <c r="B207" s="2">
        <v>45735</v>
      </c>
      <c r="C207" s="3" t="str">
        <f>TEXT([1]!Table1[[#This Row],[Date]],"dddd")</f>
        <v>Tuesday</v>
      </c>
      <c r="D207" s="3" t="s">
        <v>1</v>
      </c>
      <c r="E207" s="3">
        <v>2025</v>
      </c>
      <c r="F207" s="3" t="s">
        <v>49</v>
      </c>
      <c r="G207" s="3" t="s">
        <v>39</v>
      </c>
      <c r="H207" s="3" t="s">
        <v>40</v>
      </c>
      <c r="I207" s="3">
        <v>5</v>
      </c>
      <c r="J207" s="3">
        <v>15</v>
      </c>
      <c r="K207" s="3">
        <v>75</v>
      </c>
      <c r="L207" s="3" t="s">
        <v>17</v>
      </c>
      <c r="M207" s="3" t="s">
        <v>12</v>
      </c>
      <c r="N207" s="3" t="s">
        <v>211</v>
      </c>
      <c r="O207" s="4" t="str">
        <f>IF(ISNUMBER(SEARCH("cancel",[1]!Table1[[#This Row],[Status]])),"Cancelled",
IF(ISNUMBER(SEARCH("pend",[1]!Table1[[#This Row],[Status]])),"Pending","Completed"))</f>
        <v>Pending</v>
      </c>
    </row>
    <row r="208" spans="1:15" x14ac:dyDescent="0.3">
      <c r="A208" s="5" t="s">
        <v>253</v>
      </c>
      <c r="B208" s="6">
        <v>45711</v>
      </c>
      <c r="C208" s="7" t="str">
        <f>TEXT([1]!Table1[[#This Row],[Date]],"dddd")</f>
        <v>Wednesday</v>
      </c>
      <c r="D208" s="7" t="s">
        <v>9</v>
      </c>
      <c r="E208" s="7">
        <v>2025</v>
      </c>
      <c r="F208" s="7" t="s">
        <v>2</v>
      </c>
      <c r="G208" s="7" t="s">
        <v>3</v>
      </c>
      <c r="H208" s="7" t="s">
        <v>4</v>
      </c>
      <c r="I208" s="7">
        <v>1</v>
      </c>
      <c r="J208" s="7">
        <v>60</v>
      </c>
      <c r="K208" s="7">
        <v>60</v>
      </c>
      <c r="L208" s="7" t="s">
        <v>50</v>
      </c>
      <c r="M208" s="7" t="s">
        <v>41</v>
      </c>
      <c r="N208" s="7" t="s">
        <v>211</v>
      </c>
      <c r="O208" s="8" t="str">
        <f>IF(ISNUMBER(SEARCH("cancel",[1]!Table1[[#This Row],[Status]])),"Cancelled",
IF(ISNUMBER(SEARCH("pend",[1]!Table1[[#This Row],[Status]])),"Pending","Completed"))</f>
        <v>Pending</v>
      </c>
    </row>
    <row r="209" spans="1:15" x14ac:dyDescent="0.3">
      <c r="A209" s="1" t="s">
        <v>254</v>
      </c>
      <c r="B209" s="2">
        <v>45732</v>
      </c>
      <c r="C209" s="3" t="str">
        <f>TEXT([1]!Table1[[#This Row],[Date]],"dddd")</f>
        <v>Sunday</v>
      </c>
      <c r="D209" s="3" t="s">
        <v>1</v>
      </c>
      <c r="E209" s="3">
        <v>2025</v>
      </c>
      <c r="F209" s="3" t="s">
        <v>28</v>
      </c>
      <c r="G209" s="3" t="s">
        <v>15</v>
      </c>
      <c r="H209" s="3" t="s">
        <v>16</v>
      </c>
      <c r="I209" s="3">
        <v>2</v>
      </c>
      <c r="J209" s="3">
        <v>500</v>
      </c>
      <c r="K209" s="3">
        <v>1000</v>
      </c>
      <c r="L209" s="3" t="s">
        <v>47</v>
      </c>
      <c r="M209" s="3" t="s">
        <v>36</v>
      </c>
      <c r="N209" s="3" t="s">
        <v>211</v>
      </c>
      <c r="O209" s="4" t="str">
        <f>IF(ISNUMBER(SEARCH("cancel",[1]!Table1[[#This Row],[Status]])),"Cancelled",
IF(ISNUMBER(SEARCH("pend",[1]!Table1[[#This Row],[Status]])),"Pending","Completed"))</f>
        <v>Pending</v>
      </c>
    </row>
    <row r="210" spans="1:15" x14ac:dyDescent="0.3">
      <c r="A210" s="5" t="s">
        <v>255</v>
      </c>
      <c r="B210" s="6">
        <v>45706</v>
      </c>
      <c r="C210" s="7" t="str">
        <f>TEXT([1]!Table1[[#This Row],[Date]],"dddd")</f>
        <v>Sunday</v>
      </c>
      <c r="D210" s="7" t="s">
        <v>9</v>
      </c>
      <c r="E210" s="7">
        <v>2025</v>
      </c>
      <c r="F210" s="7" t="s">
        <v>10</v>
      </c>
      <c r="G210" s="7" t="s">
        <v>15</v>
      </c>
      <c r="H210" s="7" t="s">
        <v>16</v>
      </c>
      <c r="I210" s="7">
        <v>1</v>
      </c>
      <c r="J210" s="7">
        <v>500</v>
      </c>
      <c r="K210" s="7">
        <v>500</v>
      </c>
      <c r="L210" s="7" t="s">
        <v>31</v>
      </c>
      <c r="M210" s="7" t="s">
        <v>36</v>
      </c>
      <c r="N210" s="7" t="s">
        <v>211</v>
      </c>
      <c r="O210" s="8" t="str">
        <f>IF(ISNUMBER(SEARCH("cancel",[1]!Table1[[#This Row],[Status]])),"Cancelled",
IF(ISNUMBER(SEARCH("pend",[1]!Table1[[#This Row],[Status]])),"Pending","Completed"))</f>
        <v>Pending</v>
      </c>
    </row>
    <row r="211" spans="1:15" x14ac:dyDescent="0.3">
      <c r="A211" s="1" t="s">
        <v>256</v>
      </c>
      <c r="B211" s="2">
        <v>45698</v>
      </c>
      <c r="C211" s="3" t="str">
        <f>TEXT([1]!Table1[[#This Row],[Date]],"dddd")</f>
        <v>Tuesday</v>
      </c>
      <c r="D211" s="3" t="s">
        <v>9</v>
      </c>
      <c r="E211" s="3">
        <v>2025</v>
      </c>
      <c r="F211" s="3" t="s">
        <v>2</v>
      </c>
      <c r="G211" s="3" t="s">
        <v>39</v>
      </c>
      <c r="H211" s="3" t="s">
        <v>40</v>
      </c>
      <c r="I211" s="3">
        <v>1</v>
      </c>
      <c r="J211" s="3">
        <v>15</v>
      </c>
      <c r="K211" s="3">
        <v>15</v>
      </c>
      <c r="L211" s="3" t="s">
        <v>70</v>
      </c>
      <c r="M211" s="3" t="s">
        <v>36</v>
      </c>
      <c r="N211" s="3" t="s">
        <v>211</v>
      </c>
      <c r="O211" s="4" t="str">
        <f>IF(ISNUMBER(SEARCH("cancel",[1]!Table1[[#This Row],[Status]])),"Cancelled",
IF(ISNUMBER(SEARCH("pend",[1]!Table1[[#This Row],[Status]])),"Pending","Completed"))</f>
        <v>Pending</v>
      </c>
    </row>
    <row r="212" spans="1:15" x14ac:dyDescent="0.3">
      <c r="A212" s="5" t="s">
        <v>257</v>
      </c>
      <c r="B212" s="6">
        <v>45692</v>
      </c>
      <c r="C212" s="7" t="str">
        <f>TEXT([1]!Table1[[#This Row],[Date]],"dddd")</f>
        <v>Monday</v>
      </c>
      <c r="D212" s="7" t="s">
        <v>9</v>
      </c>
      <c r="E212" s="7">
        <v>2025</v>
      </c>
      <c r="F212" s="7" t="s">
        <v>33</v>
      </c>
      <c r="G212" s="7" t="s">
        <v>20</v>
      </c>
      <c r="H212" s="7" t="s">
        <v>24</v>
      </c>
      <c r="I212" s="7">
        <v>5</v>
      </c>
      <c r="J212" s="7">
        <v>1200</v>
      </c>
      <c r="K212" s="7">
        <v>6000</v>
      </c>
      <c r="L212" s="7" t="s">
        <v>47</v>
      </c>
      <c r="M212" s="7" t="s">
        <v>26</v>
      </c>
      <c r="N212" s="7" t="s">
        <v>211</v>
      </c>
      <c r="O212" s="8" t="str">
        <f>IF(ISNUMBER(SEARCH("cancel",[1]!Table1[[#This Row],[Status]])),"Cancelled",
IF(ISNUMBER(SEARCH("pend",[1]!Table1[[#This Row],[Status]])),"Pending","Completed"))</f>
        <v>Pending</v>
      </c>
    </row>
    <row r="213" spans="1:15" x14ac:dyDescent="0.3">
      <c r="A213" s="1" t="s">
        <v>258</v>
      </c>
      <c r="B213" s="2">
        <v>45714</v>
      </c>
      <c r="C213" s="3" t="str">
        <f>TEXT([1]!Table1[[#This Row],[Date]],"dddd")</f>
        <v>Tuesday</v>
      </c>
      <c r="D213" s="3" t="s">
        <v>9</v>
      </c>
      <c r="E213" s="3">
        <v>2025</v>
      </c>
      <c r="F213" s="3" t="s">
        <v>14</v>
      </c>
      <c r="G213" s="3" t="s">
        <v>52</v>
      </c>
      <c r="H213" s="3" t="s">
        <v>77</v>
      </c>
      <c r="I213" s="3">
        <v>5</v>
      </c>
      <c r="J213" s="3">
        <v>40</v>
      </c>
      <c r="K213" s="3">
        <v>200</v>
      </c>
      <c r="L213" s="3" t="s">
        <v>5</v>
      </c>
      <c r="M213" s="3" t="s">
        <v>12</v>
      </c>
      <c r="N213" s="3" t="s">
        <v>211</v>
      </c>
      <c r="O213" s="4" t="str">
        <f>IF(ISNUMBER(SEARCH("cancel",[1]!Table1[[#This Row],[Status]])),"Cancelled",
IF(ISNUMBER(SEARCH("pend",[1]!Table1[[#This Row],[Status]])),"Pending","Completed"))</f>
        <v>Pending</v>
      </c>
    </row>
    <row r="214" spans="1:15" x14ac:dyDescent="0.3">
      <c r="A214" s="5" t="s">
        <v>259</v>
      </c>
      <c r="B214" s="6">
        <v>45714</v>
      </c>
      <c r="C214" s="7" t="str">
        <f>TEXT([1]!Table1[[#This Row],[Date]],"dddd")</f>
        <v>Wednesday</v>
      </c>
      <c r="D214" s="7" t="s">
        <v>9</v>
      </c>
      <c r="E214" s="7">
        <v>2025</v>
      </c>
      <c r="F214" s="7" t="s">
        <v>60</v>
      </c>
      <c r="G214" s="7" t="s">
        <v>52</v>
      </c>
      <c r="H214" s="7" t="s">
        <v>77</v>
      </c>
      <c r="I214" s="7">
        <v>2</v>
      </c>
      <c r="J214" s="7">
        <v>40</v>
      </c>
      <c r="K214" s="7">
        <v>80</v>
      </c>
      <c r="L214" s="7" t="s">
        <v>47</v>
      </c>
      <c r="M214" s="7" t="s">
        <v>26</v>
      </c>
      <c r="N214" s="7" t="s">
        <v>211</v>
      </c>
      <c r="O214" s="8" t="str">
        <f>IF(ISNUMBER(SEARCH("cancel",[1]!Table1[[#This Row],[Status]])),"Cancelled",
IF(ISNUMBER(SEARCH("pend",[1]!Table1[[#This Row],[Status]])),"Pending","Completed"))</f>
        <v>Pending</v>
      </c>
    </row>
    <row r="215" spans="1:15" x14ac:dyDescent="0.3">
      <c r="A215" s="1" t="s">
        <v>260</v>
      </c>
      <c r="B215" s="2">
        <v>45723</v>
      </c>
      <c r="C215" s="3" t="str">
        <f>TEXT([1]!Table1[[#This Row],[Date]],"dddd")</f>
        <v>Wednesday</v>
      </c>
      <c r="D215" s="3" t="s">
        <v>1</v>
      </c>
      <c r="E215" s="3">
        <v>2025</v>
      </c>
      <c r="F215" s="3" t="s">
        <v>33</v>
      </c>
      <c r="G215" s="3" t="s">
        <v>15</v>
      </c>
      <c r="H215" s="3" t="s">
        <v>16</v>
      </c>
      <c r="I215" s="3">
        <v>2</v>
      </c>
      <c r="J215" s="3">
        <v>500</v>
      </c>
      <c r="K215" s="3">
        <v>1000</v>
      </c>
      <c r="L215" s="3" t="s">
        <v>47</v>
      </c>
      <c r="M215" s="3" t="s">
        <v>6</v>
      </c>
      <c r="N215" s="3" t="s">
        <v>211</v>
      </c>
      <c r="O215" s="4" t="str">
        <f>IF(ISNUMBER(SEARCH("cancel",[1]!Table1[[#This Row],[Status]])),"Cancelled",
IF(ISNUMBER(SEARCH("pend",[1]!Table1[[#This Row],[Status]])),"Pending","Completed"))</f>
        <v>Pending</v>
      </c>
    </row>
    <row r="216" spans="1:15" x14ac:dyDescent="0.3">
      <c r="A216" s="5" t="s">
        <v>261</v>
      </c>
      <c r="B216" s="6">
        <v>45711</v>
      </c>
      <c r="C216" s="7" t="str">
        <f>TEXT([1]!Table1[[#This Row],[Date]],"dddd")</f>
        <v>Friday</v>
      </c>
      <c r="D216" s="7" t="s">
        <v>9</v>
      </c>
      <c r="E216" s="7">
        <v>2025</v>
      </c>
      <c r="F216" s="7" t="s">
        <v>14</v>
      </c>
      <c r="G216" s="7" t="s">
        <v>15</v>
      </c>
      <c r="H216" s="7" t="s">
        <v>83</v>
      </c>
      <c r="I216" s="7">
        <v>1</v>
      </c>
      <c r="J216" s="7">
        <v>800</v>
      </c>
      <c r="K216" s="7">
        <v>800</v>
      </c>
      <c r="L216" s="7" t="s">
        <v>5</v>
      </c>
      <c r="M216" s="7" t="s">
        <v>36</v>
      </c>
      <c r="N216" s="7" t="s">
        <v>211</v>
      </c>
      <c r="O216" s="8" t="str">
        <f>IF(ISNUMBER(SEARCH("cancel",[1]!Table1[[#This Row],[Status]])),"Cancelled",
IF(ISNUMBER(SEARCH("pend",[1]!Table1[[#This Row],[Status]])),"Pending","Completed"))</f>
        <v>Pending</v>
      </c>
    </row>
    <row r="217" spans="1:15" x14ac:dyDescent="0.3">
      <c r="A217" s="1" t="s">
        <v>262</v>
      </c>
      <c r="B217" s="2">
        <v>45695</v>
      </c>
      <c r="C217" s="3" t="str">
        <f>TEXT([1]!Table1[[#This Row],[Date]],"dddd")</f>
        <v>Sunday</v>
      </c>
      <c r="D217" s="3" t="s">
        <v>9</v>
      </c>
      <c r="E217" s="3">
        <v>2025</v>
      </c>
      <c r="F217" s="3" t="s">
        <v>49</v>
      </c>
      <c r="G217" s="3" t="s">
        <v>15</v>
      </c>
      <c r="H217" s="3" t="s">
        <v>16</v>
      </c>
      <c r="I217" s="3">
        <v>5</v>
      </c>
      <c r="J217" s="3">
        <v>500</v>
      </c>
      <c r="K217" s="3">
        <v>2500</v>
      </c>
      <c r="L217" s="3" t="s">
        <v>47</v>
      </c>
      <c r="M217" s="3" t="s">
        <v>12</v>
      </c>
      <c r="N217" s="3" t="s">
        <v>211</v>
      </c>
      <c r="O217" s="4" t="str">
        <f>IF(ISNUMBER(SEARCH("cancel",[1]!Table1[[#This Row],[Status]])),"Cancelled",
IF(ISNUMBER(SEARCH("pend",[1]!Table1[[#This Row],[Status]])),"Pending","Completed"))</f>
        <v>Pending</v>
      </c>
    </row>
    <row r="218" spans="1:15" x14ac:dyDescent="0.3">
      <c r="A218" s="5" t="s">
        <v>263</v>
      </c>
      <c r="B218" s="6">
        <v>45698</v>
      </c>
      <c r="C218" s="7" t="str">
        <f>TEXT([1]!Table1[[#This Row],[Date]],"dddd")</f>
        <v>Friday</v>
      </c>
      <c r="D218" s="7" t="s">
        <v>9</v>
      </c>
      <c r="E218" s="7">
        <v>2025</v>
      </c>
      <c r="F218" s="7" t="s">
        <v>33</v>
      </c>
      <c r="G218" s="7" t="s">
        <v>52</v>
      </c>
      <c r="H218" s="7" t="s">
        <v>53</v>
      </c>
      <c r="I218" s="7">
        <v>1</v>
      </c>
      <c r="J218" s="7">
        <v>20</v>
      </c>
      <c r="K218" s="7">
        <v>20</v>
      </c>
      <c r="L218" s="7" t="s">
        <v>22</v>
      </c>
      <c r="M218" s="7" t="s">
        <v>41</v>
      </c>
      <c r="N218" s="7" t="s">
        <v>211</v>
      </c>
      <c r="O218" s="8" t="str">
        <f>IF(ISNUMBER(SEARCH("cancel",[1]!Table1[[#This Row],[Status]])),"Cancelled",
IF(ISNUMBER(SEARCH("pend",[1]!Table1[[#This Row],[Status]])),"Pending","Completed"))</f>
        <v>Pending</v>
      </c>
    </row>
    <row r="219" spans="1:15" x14ac:dyDescent="0.3">
      <c r="A219" s="1" t="s">
        <v>264</v>
      </c>
      <c r="B219" s="2">
        <v>45693</v>
      </c>
      <c r="C219" s="3" t="str">
        <f>TEXT([1]!Table1[[#This Row],[Date]],"dddd")</f>
        <v>Monday</v>
      </c>
      <c r="D219" s="3" t="s">
        <v>9</v>
      </c>
      <c r="E219" s="3">
        <v>2025</v>
      </c>
      <c r="F219" s="3" t="s">
        <v>45</v>
      </c>
      <c r="G219" s="3" t="s">
        <v>3</v>
      </c>
      <c r="H219" s="3" t="s">
        <v>4</v>
      </c>
      <c r="I219" s="3">
        <v>5</v>
      </c>
      <c r="J219" s="3">
        <v>60</v>
      </c>
      <c r="K219" s="3">
        <v>300</v>
      </c>
      <c r="L219" s="3" t="s">
        <v>31</v>
      </c>
      <c r="M219" s="3" t="s">
        <v>36</v>
      </c>
      <c r="N219" s="3" t="s">
        <v>211</v>
      </c>
      <c r="O219" s="4" t="str">
        <f>IF(ISNUMBER(SEARCH("cancel",[1]!Table1[[#This Row],[Status]])),"Cancelled",
IF(ISNUMBER(SEARCH("pend",[1]!Table1[[#This Row],[Status]])),"Pending","Completed"))</f>
        <v>Pending</v>
      </c>
    </row>
    <row r="220" spans="1:15" x14ac:dyDescent="0.3">
      <c r="A220" s="5" t="s">
        <v>265</v>
      </c>
      <c r="B220" s="6">
        <v>45736</v>
      </c>
      <c r="C220" s="7" t="str">
        <f>TEXT([1]!Table1[[#This Row],[Date]],"dddd")</f>
        <v>Wednesday</v>
      </c>
      <c r="D220" s="7" t="s">
        <v>1</v>
      </c>
      <c r="E220" s="7">
        <v>2025</v>
      </c>
      <c r="F220" s="7" t="s">
        <v>19</v>
      </c>
      <c r="G220" s="7" t="s">
        <v>3</v>
      </c>
      <c r="H220" s="7" t="s">
        <v>4</v>
      </c>
      <c r="I220" s="7">
        <v>3</v>
      </c>
      <c r="J220" s="7">
        <v>60</v>
      </c>
      <c r="K220" s="7">
        <v>180</v>
      </c>
      <c r="L220" s="7" t="s">
        <v>5</v>
      </c>
      <c r="M220" s="7" t="s">
        <v>6</v>
      </c>
      <c r="N220" s="7" t="s">
        <v>211</v>
      </c>
      <c r="O220" s="8" t="str">
        <f>IF(ISNUMBER(SEARCH("cancel",[1]!Table1[[#This Row],[Status]])),"Cancelled",
IF(ISNUMBER(SEARCH("pend",[1]!Table1[[#This Row],[Status]])),"Pending","Completed"))</f>
        <v>Pending</v>
      </c>
    </row>
    <row r="221" spans="1:15" x14ac:dyDescent="0.3">
      <c r="A221" s="1" t="s">
        <v>266</v>
      </c>
      <c r="B221" s="2">
        <v>45745</v>
      </c>
      <c r="C221" s="3" t="str">
        <f>TEXT([1]!Table1[[#This Row],[Date]],"dddd")</f>
        <v>Thursday</v>
      </c>
      <c r="D221" s="3" t="s">
        <v>1</v>
      </c>
      <c r="E221" s="3">
        <v>2025</v>
      </c>
      <c r="F221" s="3" t="s">
        <v>45</v>
      </c>
      <c r="G221" s="3" t="s">
        <v>20</v>
      </c>
      <c r="H221" s="3" t="s">
        <v>21</v>
      </c>
      <c r="I221" s="3">
        <v>4</v>
      </c>
      <c r="J221" s="3">
        <v>600</v>
      </c>
      <c r="K221" s="3">
        <v>2400</v>
      </c>
      <c r="L221" s="3" t="s">
        <v>56</v>
      </c>
      <c r="M221" s="3" t="s">
        <v>41</v>
      </c>
      <c r="N221" s="3" t="s">
        <v>211</v>
      </c>
      <c r="O221" s="4" t="str">
        <f>IF(ISNUMBER(SEARCH("cancel",[1]!Table1[[#This Row],[Status]])),"Cancelled",
IF(ISNUMBER(SEARCH("pend",[1]!Table1[[#This Row],[Status]])),"Pending","Completed"))</f>
        <v>Pending</v>
      </c>
    </row>
    <row r="222" spans="1:15" x14ac:dyDescent="0.3">
      <c r="A222" s="5" t="s">
        <v>267</v>
      </c>
      <c r="B222" s="6">
        <v>45711</v>
      </c>
      <c r="C222" s="7" t="str">
        <f>TEXT([1]!Table1[[#This Row],[Date]],"dddd")</f>
        <v>Saturday</v>
      </c>
      <c r="D222" s="7" t="s">
        <v>9</v>
      </c>
      <c r="E222" s="7">
        <v>2025</v>
      </c>
      <c r="F222" s="7" t="s">
        <v>35</v>
      </c>
      <c r="G222" s="7" t="s">
        <v>15</v>
      </c>
      <c r="H222" s="7" t="s">
        <v>61</v>
      </c>
      <c r="I222" s="7">
        <v>5</v>
      </c>
      <c r="J222" s="7">
        <v>150</v>
      </c>
      <c r="K222" s="7">
        <v>750</v>
      </c>
      <c r="L222" s="7" t="s">
        <v>17</v>
      </c>
      <c r="M222" s="7" t="s">
        <v>12</v>
      </c>
      <c r="N222" s="7" t="s">
        <v>211</v>
      </c>
      <c r="O222" s="8" t="str">
        <f>IF(ISNUMBER(SEARCH("cancel",[1]!Table1[[#This Row],[Status]])),"Cancelled",
IF(ISNUMBER(SEARCH("pend",[1]!Table1[[#This Row],[Status]])),"Pending","Completed"))</f>
        <v>Pending</v>
      </c>
    </row>
    <row r="223" spans="1:15" x14ac:dyDescent="0.3">
      <c r="A223" s="1" t="s">
        <v>268</v>
      </c>
      <c r="B223" s="2">
        <v>45693</v>
      </c>
      <c r="C223" s="3" t="str">
        <f>TEXT([1]!Table1[[#This Row],[Date]],"dddd")</f>
        <v>Sunday</v>
      </c>
      <c r="D223" s="3" t="s">
        <v>9</v>
      </c>
      <c r="E223" s="3">
        <v>2025</v>
      </c>
      <c r="F223" s="3" t="s">
        <v>35</v>
      </c>
      <c r="G223" s="3" t="s">
        <v>20</v>
      </c>
      <c r="H223" s="3" t="s">
        <v>24</v>
      </c>
      <c r="I223" s="3">
        <v>4</v>
      </c>
      <c r="J223" s="3">
        <v>1200</v>
      </c>
      <c r="K223" s="3">
        <v>4800</v>
      </c>
      <c r="L223" s="3" t="s">
        <v>70</v>
      </c>
      <c r="M223" s="3" t="s">
        <v>12</v>
      </c>
      <c r="N223" s="3" t="s">
        <v>211</v>
      </c>
      <c r="O223" s="4" t="str">
        <f>IF(ISNUMBER(SEARCH("cancel",[1]!Table1[[#This Row],[Status]])),"Cancelled",
IF(ISNUMBER(SEARCH("pend",[1]!Table1[[#This Row],[Status]])),"Pending","Completed"))</f>
        <v>Pending</v>
      </c>
    </row>
    <row r="224" spans="1:15" x14ac:dyDescent="0.3">
      <c r="A224" s="5" t="s">
        <v>269</v>
      </c>
      <c r="B224" s="6">
        <v>45696</v>
      </c>
      <c r="C224" s="7" t="str">
        <f>TEXT([1]!Table1[[#This Row],[Date]],"dddd")</f>
        <v>Wednesday</v>
      </c>
      <c r="D224" s="7" t="s">
        <v>9</v>
      </c>
      <c r="E224" s="7">
        <v>2025</v>
      </c>
      <c r="F224" s="7" t="s">
        <v>35</v>
      </c>
      <c r="G224" s="7" t="s">
        <v>15</v>
      </c>
      <c r="H224" s="7" t="s">
        <v>16</v>
      </c>
      <c r="I224" s="7">
        <v>3</v>
      </c>
      <c r="J224" s="7">
        <v>500</v>
      </c>
      <c r="K224" s="7">
        <v>1500</v>
      </c>
      <c r="L224" s="7" t="s">
        <v>11</v>
      </c>
      <c r="M224" s="7" t="s">
        <v>26</v>
      </c>
      <c r="N224" s="7" t="s">
        <v>211</v>
      </c>
      <c r="O224" s="8" t="str">
        <f>IF(ISNUMBER(SEARCH("cancel",[1]!Table1[[#This Row],[Status]])),"Cancelled",
IF(ISNUMBER(SEARCH("pend",[1]!Table1[[#This Row],[Status]])),"Pending","Completed"))</f>
        <v>Pending</v>
      </c>
    </row>
    <row r="225" spans="1:15" x14ac:dyDescent="0.3">
      <c r="A225" s="1" t="s">
        <v>270</v>
      </c>
      <c r="B225" s="2">
        <v>45712</v>
      </c>
      <c r="C225" s="3" t="str">
        <f>TEXT([1]!Table1[[#This Row],[Date]],"dddd")</f>
        <v>Saturday</v>
      </c>
      <c r="D225" s="3" t="s">
        <v>9</v>
      </c>
      <c r="E225" s="3">
        <v>2025</v>
      </c>
      <c r="F225" s="3" t="s">
        <v>28</v>
      </c>
      <c r="G225" s="3" t="s">
        <v>15</v>
      </c>
      <c r="H225" s="3" t="s">
        <v>83</v>
      </c>
      <c r="I225" s="3">
        <v>3</v>
      </c>
      <c r="J225" s="3">
        <v>800</v>
      </c>
      <c r="K225" s="3">
        <v>2400</v>
      </c>
      <c r="L225" s="3" t="s">
        <v>22</v>
      </c>
      <c r="M225" s="3" t="s">
        <v>26</v>
      </c>
      <c r="N225" s="3" t="s">
        <v>211</v>
      </c>
      <c r="O225" s="4" t="str">
        <f>IF(ISNUMBER(SEARCH("cancel",[1]!Table1[[#This Row],[Status]])),"Cancelled",
IF(ISNUMBER(SEARCH("pend",[1]!Table1[[#This Row],[Status]])),"Pending","Completed"))</f>
        <v>Pending</v>
      </c>
    </row>
    <row r="226" spans="1:15" x14ac:dyDescent="0.3">
      <c r="A226" s="5" t="s">
        <v>271</v>
      </c>
      <c r="B226" s="6">
        <v>45713</v>
      </c>
      <c r="C226" s="7" t="str">
        <f>TEXT([1]!Table1[[#This Row],[Date]],"dddd")</f>
        <v>Monday</v>
      </c>
      <c r="D226" s="7" t="s">
        <v>9</v>
      </c>
      <c r="E226" s="7">
        <v>2025</v>
      </c>
      <c r="F226" s="7" t="s">
        <v>19</v>
      </c>
      <c r="G226" s="7" t="s">
        <v>15</v>
      </c>
      <c r="H226" s="7" t="s">
        <v>61</v>
      </c>
      <c r="I226" s="7">
        <v>5</v>
      </c>
      <c r="J226" s="7">
        <v>150</v>
      </c>
      <c r="K226" s="7">
        <v>750</v>
      </c>
      <c r="L226" s="7" t="s">
        <v>25</v>
      </c>
      <c r="M226" s="7" t="s">
        <v>6</v>
      </c>
      <c r="N226" s="7" t="s">
        <v>211</v>
      </c>
      <c r="O226" s="8" t="str">
        <f>IF(ISNUMBER(SEARCH("cancel",[1]!Table1[[#This Row],[Status]])),"Cancelled",
IF(ISNUMBER(SEARCH("pend",[1]!Table1[[#This Row],[Status]])),"Pending","Completed"))</f>
        <v>Pending</v>
      </c>
    </row>
    <row r="227" spans="1:15" x14ac:dyDescent="0.3">
      <c r="A227" s="1" t="s">
        <v>272</v>
      </c>
      <c r="B227" s="2">
        <v>45730</v>
      </c>
      <c r="C227" s="3" t="str">
        <f>TEXT([1]!Table1[[#This Row],[Date]],"dddd")</f>
        <v>Tuesday</v>
      </c>
      <c r="D227" s="3" t="s">
        <v>1</v>
      </c>
      <c r="E227" s="3">
        <v>2025</v>
      </c>
      <c r="F227" s="3" t="s">
        <v>49</v>
      </c>
      <c r="G227" s="3" t="s">
        <v>39</v>
      </c>
      <c r="H227" s="3" t="s">
        <v>40</v>
      </c>
      <c r="I227" s="3">
        <v>1</v>
      </c>
      <c r="J227" s="3">
        <v>15</v>
      </c>
      <c r="K227" s="3">
        <v>15</v>
      </c>
      <c r="L227" s="3" t="s">
        <v>5</v>
      </c>
      <c r="M227" s="3" t="s">
        <v>12</v>
      </c>
      <c r="N227" s="3" t="s">
        <v>211</v>
      </c>
      <c r="O227" s="4" t="str">
        <f>IF(ISNUMBER(SEARCH("cancel",[1]!Table1[[#This Row],[Status]])),"Cancelled",
IF(ISNUMBER(SEARCH("pend",[1]!Table1[[#This Row],[Status]])),"Pending","Completed"))</f>
        <v>Pending</v>
      </c>
    </row>
    <row r="228" spans="1:15" x14ac:dyDescent="0.3">
      <c r="A228" s="5" t="s">
        <v>273</v>
      </c>
      <c r="B228" s="6">
        <v>45746</v>
      </c>
      <c r="C228" s="7" t="str">
        <f>TEXT([1]!Table1[[#This Row],[Date]],"dddd")</f>
        <v>Friday</v>
      </c>
      <c r="D228" s="7" t="s">
        <v>1</v>
      </c>
      <c r="E228" s="7">
        <v>2025</v>
      </c>
      <c r="F228" s="7" t="s">
        <v>28</v>
      </c>
      <c r="G228" s="7" t="s">
        <v>20</v>
      </c>
      <c r="H228" s="7" t="s">
        <v>21</v>
      </c>
      <c r="I228" s="7">
        <v>4</v>
      </c>
      <c r="J228" s="7">
        <v>600</v>
      </c>
      <c r="K228" s="7">
        <v>2400</v>
      </c>
      <c r="L228" s="7" t="s">
        <v>50</v>
      </c>
      <c r="M228" s="7" t="s">
        <v>26</v>
      </c>
      <c r="N228" s="7" t="s">
        <v>211</v>
      </c>
      <c r="O228" s="8" t="str">
        <f>IF(ISNUMBER(SEARCH("cancel",[1]!Table1[[#This Row],[Status]])),"Cancelled",
IF(ISNUMBER(SEARCH("pend",[1]!Table1[[#This Row],[Status]])),"Pending","Completed"))</f>
        <v>Pending</v>
      </c>
    </row>
    <row r="229" spans="1:15" x14ac:dyDescent="0.3">
      <c r="A229" s="1" t="s">
        <v>274</v>
      </c>
      <c r="B229" s="2">
        <v>45740</v>
      </c>
      <c r="C229" s="3" t="str">
        <f>TEXT([1]!Table1[[#This Row],[Date]],"dddd")</f>
        <v>Sunday</v>
      </c>
      <c r="D229" s="3" t="s">
        <v>1</v>
      </c>
      <c r="E229" s="3">
        <v>2025</v>
      </c>
      <c r="F229" s="3" t="s">
        <v>19</v>
      </c>
      <c r="G229" s="3" t="s">
        <v>15</v>
      </c>
      <c r="H229" s="3" t="s">
        <v>83</v>
      </c>
      <c r="I229" s="3">
        <v>5</v>
      </c>
      <c r="J229" s="3">
        <v>800</v>
      </c>
      <c r="K229" s="3">
        <v>4000</v>
      </c>
      <c r="L229" s="3" t="s">
        <v>22</v>
      </c>
      <c r="M229" s="3" t="s">
        <v>36</v>
      </c>
      <c r="N229" s="3" t="s">
        <v>211</v>
      </c>
      <c r="O229" s="4" t="str">
        <f>IF(ISNUMBER(SEARCH("cancel",[1]!Table1[[#This Row],[Status]])),"Cancelled",
IF(ISNUMBER(SEARCH("pend",[1]!Table1[[#This Row],[Status]])),"Pending","Completed"))</f>
        <v>Pending</v>
      </c>
    </row>
    <row r="230" spans="1:15" x14ac:dyDescent="0.3">
      <c r="A230" s="5" t="s">
        <v>275</v>
      </c>
      <c r="B230" s="6">
        <v>45716</v>
      </c>
      <c r="C230" s="7" t="str">
        <f>TEXT([1]!Table1[[#This Row],[Date]],"dddd")</f>
        <v>Monday</v>
      </c>
      <c r="D230" s="7" t="s">
        <v>9</v>
      </c>
      <c r="E230" s="7">
        <v>2025</v>
      </c>
      <c r="F230" s="7" t="s">
        <v>2</v>
      </c>
      <c r="G230" s="7" t="s">
        <v>15</v>
      </c>
      <c r="H230" s="7" t="s">
        <v>83</v>
      </c>
      <c r="I230" s="7">
        <v>1</v>
      </c>
      <c r="J230" s="7">
        <v>800</v>
      </c>
      <c r="K230" s="7">
        <v>800</v>
      </c>
      <c r="L230" s="7" t="s">
        <v>17</v>
      </c>
      <c r="M230" s="7" t="s">
        <v>26</v>
      </c>
      <c r="N230" s="7" t="s">
        <v>211</v>
      </c>
      <c r="O230" s="8" t="str">
        <f>IF(ISNUMBER(SEARCH("cancel",[1]!Table1[[#This Row],[Status]])),"Cancelled",
IF(ISNUMBER(SEARCH("pend",[1]!Table1[[#This Row],[Status]])),"Pending","Completed"))</f>
        <v>Pending</v>
      </c>
    </row>
    <row r="231" spans="1:15" x14ac:dyDescent="0.3">
      <c r="A231" s="1" t="s">
        <v>276</v>
      </c>
      <c r="B231" s="2">
        <v>45729</v>
      </c>
      <c r="C231" s="3" t="str">
        <f>TEXT([1]!Table1[[#This Row],[Date]],"dddd")</f>
        <v>Friday</v>
      </c>
      <c r="D231" s="3" t="s">
        <v>1</v>
      </c>
      <c r="E231" s="3">
        <v>2025</v>
      </c>
      <c r="F231" s="3" t="s">
        <v>49</v>
      </c>
      <c r="G231" s="3" t="s">
        <v>15</v>
      </c>
      <c r="H231" s="3" t="s">
        <v>61</v>
      </c>
      <c r="I231" s="3">
        <v>2</v>
      </c>
      <c r="J231" s="3">
        <v>150</v>
      </c>
      <c r="K231" s="3">
        <v>300</v>
      </c>
      <c r="L231" s="3" t="s">
        <v>47</v>
      </c>
      <c r="M231" s="3" t="s">
        <v>12</v>
      </c>
      <c r="N231" s="3" t="s">
        <v>211</v>
      </c>
      <c r="O231" s="4" t="str">
        <f>IF(ISNUMBER(SEARCH("cancel",[1]!Table1[[#This Row],[Status]])),"Cancelled",
IF(ISNUMBER(SEARCH("pend",[1]!Table1[[#This Row],[Status]])),"Pending","Completed"))</f>
        <v>Pending</v>
      </c>
    </row>
    <row r="232" spans="1:15" x14ac:dyDescent="0.3">
      <c r="A232" s="5" t="s">
        <v>277</v>
      </c>
      <c r="B232" s="6">
        <v>45730</v>
      </c>
      <c r="C232" s="7" t="str">
        <f>TEXT([1]!Table1[[#This Row],[Date]],"dddd")</f>
        <v>Thursday</v>
      </c>
      <c r="D232" s="7" t="s">
        <v>1</v>
      </c>
      <c r="E232" s="7">
        <v>2025</v>
      </c>
      <c r="F232" s="7" t="s">
        <v>49</v>
      </c>
      <c r="G232" s="7" t="s">
        <v>39</v>
      </c>
      <c r="H232" s="7" t="s">
        <v>40</v>
      </c>
      <c r="I232" s="7">
        <v>5</v>
      </c>
      <c r="J232" s="7">
        <v>15</v>
      </c>
      <c r="K232" s="7">
        <v>75</v>
      </c>
      <c r="L232" s="7" t="s">
        <v>17</v>
      </c>
      <c r="M232" s="7" t="s">
        <v>26</v>
      </c>
      <c r="N232" s="7" t="s">
        <v>211</v>
      </c>
      <c r="O232" s="8" t="str">
        <f>IF(ISNUMBER(SEARCH("cancel",[1]!Table1[[#This Row],[Status]])),"Cancelled",
IF(ISNUMBER(SEARCH("pend",[1]!Table1[[#This Row],[Status]])),"Pending","Completed"))</f>
        <v>Pending</v>
      </c>
    </row>
    <row r="233" spans="1:15" x14ac:dyDescent="0.3">
      <c r="A233" s="1" t="s">
        <v>278</v>
      </c>
      <c r="B233" s="2">
        <v>45741</v>
      </c>
      <c r="C233" s="3" t="str">
        <f>TEXT([1]!Table1[[#This Row],[Date]],"dddd")</f>
        <v>Friday</v>
      </c>
      <c r="D233" s="3" t="s">
        <v>1</v>
      </c>
      <c r="E233" s="3">
        <v>2025</v>
      </c>
      <c r="F233" s="3" t="s">
        <v>2</v>
      </c>
      <c r="G233" s="3" t="s">
        <v>20</v>
      </c>
      <c r="H233" s="3" t="s">
        <v>21</v>
      </c>
      <c r="I233" s="3">
        <v>1</v>
      </c>
      <c r="J233" s="3">
        <v>600</v>
      </c>
      <c r="K233" s="3">
        <v>600</v>
      </c>
      <c r="L233" s="3" t="s">
        <v>70</v>
      </c>
      <c r="M233" s="3" t="s">
        <v>26</v>
      </c>
      <c r="N233" s="3" t="s">
        <v>211</v>
      </c>
      <c r="O233" s="4" t="str">
        <f>IF(ISNUMBER(SEARCH("cancel",[1]!Table1[[#This Row],[Status]])),"Cancelled",
IF(ISNUMBER(SEARCH("pend",[1]!Table1[[#This Row],[Status]])),"Pending","Completed"))</f>
        <v>Pending</v>
      </c>
    </row>
    <row r="234" spans="1:15" x14ac:dyDescent="0.3">
      <c r="A234" s="5" t="s">
        <v>279</v>
      </c>
      <c r="B234" s="6">
        <v>45705</v>
      </c>
      <c r="C234" s="7" t="str">
        <f>TEXT([1]!Table1[[#This Row],[Date]],"dddd")</f>
        <v>Tuesday</v>
      </c>
      <c r="D234" s="7" t="s">
        <v>9</v>
      </c>
      <c r="E234" s="7">
        <v>2025</v>
      </c>
      <c r="F234" s="7" t="s">
        <v>60</v>
      </c>
      <c r="G234" s="7" t="s">
        <v>39</v>
      </c>
      <c r="H234" s="7" t="s">
        <v>40</v>
      </c>
      <c r="I234" s="7">
        <v>5</v>
      </c>
      <c r="J234" s="7">
        <v>15</v>
      </c>
      <c r="K234" s="7">
        <v>75</v>
      </c>
      <c r="L234" s="7" t="s">
        <v>22</v>
      </c>
      <c r="M234" s="7" t="s">
        <v>41</v>
      </c>
      <c r="N234" s="7" t="s">
        <v>211</v>
      </c>
      <c r="O234" s="8" t="str">
        <f>IF(ISNUMBER(SEARCH("cancel",[1]!Table1[[#This Row],[Status]])),"Cancelled",
IF(ISNUMBER(SEARCH("pend",[1]!Table1[[#This Row],[Status]])),"Pending","Completed"))</f>
        <v>Pending</v>
      </c>
    </row>
    <row r="235" spans="1:15" x14ac:dyDescent="0.3">
      <c r="A235" s="1" t="s">
        <v>280</v>
      </c>
      <c r="B235" s="2">
        <v>45729</v>
      </c>
      <c r="C235" s="3" t="str">
        <f>TEXT([1]!Table1[[#This Row],[Date]],"dddd")</f>
        <v>Monday</v>
      </c>
      <c r="D235" s="3" t="s">
        <v>1</v>
      </c>
      <c r="E235" s="3">
        <v>2025</v>
      </c>
      <c r="F235" s="3" t="s">
        <v>10</v>
      </c>
      <c r="G235" s="3" t="s">
        <v>15</v>
      </c>
      <c r="H235" s="3" t="s">
        <v>83</v>
      </c>
      <c r="I235" s="3">
        <v>3</v>
      </c>
      <c r="J235" s="3">
        <v>800</v>
      </c>
      <c r="K235" s="3">
        <v>2400</v>
      </c>
      <c r="L235" s="3" t="s">
        <v>5</v>
      </c>
      <c r="M235" s="3" t="s">
        <v>6</v>
      </c>
      <c r="N235" s="3" t="s">
        <v>211</v>
      </c>
      <c r="O235" s="4" t="str">
        <f>IF(ISNUMBER(SEARCH("cancel",[1]!Table1[[#This Row],[Status]])),"Cancelled",
IF(ISNUMBER(SEARCH("pend",[1]!Table1[[#This Row],[Status]])),"Pending","Completed"))</f>
        <v>Pending</v>
      </c>
    </row>
    <row r="236" spans="1:15" x14ac:dyDescent="0.3">
      <c r="A236" s="5" t="s">
        <v>281</v>
      </c>
      <c r="B236" s="6">
        <v>45716</v>
      </c>
      <c r="C236" s="7" t="str">
        <f>TEXT([1]!Table1[[#This Row],[Date]],"dddd")</f>
        <v>Thursday</v>
      </c>
      <c r="D236" s="7" t="s">
        <v>9</v>
      </c>
      <c r="E236" s="7">
        <v>2025</v>
      </c>
      <c r="F236" s="7" t="s">
        <v>10</v>
      </c>
      <c r="G236" s="7" t="s">
        <v>52</v>
      </c>
      <c r="H236" s="7" t="s">
        <v>77</v>
      </c>
      <c r="I236" s="7">
        <v>4</v>
      </c>
      <c r="J236" s="7">
        <v>40</v>
      </c>
      <c r="K236" s="7">
        <v>160</v>
      </c>
      <c r="L236" s="7" t="s">
        <v>70</v>
      </c>
      <c r="M236" s="7" t="s">
        <v>36</v>
      </c>
      <c r="N236" s="7" t="s">
        <v>211</v>
      </c>
      <c r="O236" s="8" t="str">
        <f>IF(ISNUMBER(SEARCH("cancel",[1]!Table1[[#This Row],[Status]])),"Cancelled",
IF(ISNUMBER(SEARCH("pend",[1]!Table1[[#This Row],[Status]])),"Pending","Completed"))</f>
        <v>Pending</v>
      </c>
    </row>
    <row r="237" spans="1:15" x14ac:dyDescent="0.3">
      <c r="A237" s="1" t="s">
        <v>282</v>
      </c>
      <c r="B237" s="2">
        <v>45747</v>
      </c>
      <c r="C237" s="3" t="str">
        <f>TEXT([1]!Table1[[#This Row],[Date]],"dddd")</f>
        <v>Friday</v>
      </c>
      <c r="D237" s="3" t="s">
        <v>1</v>
      </c>
      <c r="E237" s="3">
        <v>2025</v>
      </c>
      <c r="F237" s="3" t="s">
        <v>35</v>
      </c>
      <c r="G237" s="3" t="s">
        <v>15</v>
      </c>
      <c r="H237" s="3" t="s">
        <v>29</v>
      </c>
      <c r="I237" s="3">
        <v>3</v>
      </c>
      <c r="J237" s="3">
        <v>100</v>
      </c>
      <c r="K237" s="3">
        <v>300</v>
      </c>
      <c r="L237" s="3" t="s">
        <v>31</v>
      </c>
      <c r="M237" s="3" t="s">
        <v>6</v>
      </c>
      <c r="N237" s="3" t="s">
        <v>211</v>
      </c>
      <c r="O237" s="4" t="str">
        <f>IF(ISNUMBER(SEARCH("cancel",[1]!Table1[[#This Row],[Status]])),"Cancelled",
IF(ISNUMBER(SEARCH("pend",[1]!Table1[[#This Row],[Status]])),"Pending","Completed"))</f>
        <v>Pending</v>
      </c>
    </row>
    <row r="238" spans="1:15" x14ac:dyDescent="0.3">
      <c r="A238" s="5" t="s">
        <v>283</v>
      </c>
      <c r="B238" s="6">
        <v>45746</v>
      </c>
      <c r="C238" s="7" t="str">
        <f>TEXT([1]!Table1[[#This Row],[Date]],"dddd")</f>
        <v>Monday</v>
      </c>
      <c r="D238" s="7" t="s">
        <v>1</v>
      </c>
      <c r="E238" s="7">
        <v>2025</v>
      </c>
      <c r="F238" s="7" t="s">
        <v>49</v>
      </c>
      <c r="G238" s="7" t="s">
        <v>39</v>
      </c>
      <c r="H238" s="7" t="s">
        <v>40</v>
      </c>
      <c r="I238" s="7">
        <v>5</v>
      </c>
      <c r="J238" s="7">
        <v>15</v>
      </c>
      <c r="K238" s="7">
        <v>75</v>
      </c>
      <c r="L238" s="7" t="s">
        <v>47</v>
      </c>
      <c r="M238" s="7" t="s">
        <v>26</v>
      </c>
      <c r="N238" s="7" t="s">
        <v>211</v>
      </c>
      <c r="O238" s="8" t="str">
        <f>IF(ISNUMBER(SEARCH("cancel",[1]!Table1[[#This Row],[Status]])),"Cancelled",
IF(ISNUMBER(SEARCH("pend",[1]!Table1[[#This Row],[Status]])),"Pending","Completed"))</f>
        <v>Pending</v>
      </c>
    </row>
    <row r="239" spans="1:15" x14ac:dyDescent="0.3">
      <c r="A239" s="1" t="s">
        <v>284</v>
      </c>
      <c r="B239" s="2">
        <v>45720</v>
      </c>
      <c r="C239" s="3" t="str">
        <f>TEXT([1]!Table1[[#This Row],[Date]],"dddd")</f>
        <v>Sunday</v>
      </c>
      <c r="D239" s="3" t="s">
        <v>1</v>
      </c>
      <c r="E239" s="3">
        <v>2025</v>
      </c>
      <c r="F239" s="3" t="s">
        <v>60</v>
      </c>
      <c r="G239" s="3" t="s">
        <v>15</v>
      </c>
      <c r="H239" s="3" t="s">
        <v>29</v>
      </c>
      <c r="I239" s="3">
        <v>5</v>
      </c>
      <c r="J239" s="3">
        <v>100</v>
      </c>
      <c r="K239" s="3">
        <v>500</v>
      </c>
      <c r="L239" s="3" t="s">
        <v>70</v>
      </c>
      <c r="M239" s="3" t="s">
        <v>6</v>
      </c>
      <c r="N239" s="3" t="s">
        <v>211</v>
      </c>
      <c r="O239" s="4" t="str">
        <f>IF(ISNUMBER(SEARCH("cancel",[1]!Table1[[#This Row],[Status]])),"Cancelled",
IF(ISNUMBER(SEARCH("pend",[1]!Table1[[#This Row],[Status]])),"Pending","Completed"))</f>
        <v>Pending</v>
      </c>
    </row>
    <row r="240" spans="1:15" x14ac:dyDescent="0.3">
      <c r="A240" s="5" t="s">
        <v>285</v>
      </c>
      <c r="B240" s="6">
        <v>45708</v>
      </c>
      <c r="C240" s="7" t="str">
        <f>TEXT([1]!Table1[[#This Row],[Date]],"dddd")</f>
        <v>Tuesday</v>
      </c>
      <c r="D240" s="7" t="s">
        <v>9</v>
      </c>
      <c r="E240" s="7">
        <v>2025</v>
      </c>
      <c r="F240" s="7" t="s">
        <v>45</v>
      </c>
      <c r="G240" s="7" t="s">
        <v>15</v>
      </c>
      <c r="H240" s="7" t="s">
        <v>83</v>
      </c>
      <c r="I240" s="7">
        <v>4</v>
      </c>
      <c r="J240" s="7">
        <v>800</v>
      </c>
      <c r="K240" s="7">
        <v>3200</v>
      </c>
      <c r="L240" s="7" t="s">
        <v>70</v>
      </c>
      <c r="M240" s="7" t="s">
        <v>36</v>
      </c>
      <c r="N240" s="7" t="s">
        <v>211</v>
      </c>
      <c r="O240" s="8" t="str">
        <f>IF(ISNUMBER(SEARCH("cancel",[1]!Table1[[#This Row],[Status]])),"Cancelled",
IF(ISNUMBER(SEARCH("pend",[1]!Table1[[#This Row],[Status]])),"Pending","Completed"))</f>
        <v>Pending</v>
      </c>
    </row>
    <row r="241" spans="1:15" x14ac:dyDescent="0.3">
      <c r="A241" s="1" t="s">
        <v>286</v>
      </c>
      <c r="B241" s="2">
        <v>45724</v>
      </c>
      <c r="C241" s="3" t="str">
        <f>TEXT([1]!Table1[[#This Row],[Date]],"dddd")</f>
        <v>Thursday</v>
      </c>
      <c r="D241" s="3" t="s">
        <v>1</v>
      </c>
      <c r="E241" s="3">
        <v>2025</v>
      </c>
      <c r="F241" s="3" t="s">
        <v>45</v>
      </c>
      <c r="G241" s="3" t="s">
        <v>3</v>
      </c>
      <c r="H241" s="3" t="s">
        <v>4</v>
      </c>
      <c r="I241" s="3">
        <v>5</v>
      </c>
      <c r="J241" s="3">
        <v>60</v>
      </c>
      <c r="K241" s="3">
        <v>300</v>
      </c>
      <c r="L241" s="3" t="s">
        <v>22</v>
      </c>
      <c r="M241" s="3" t="s">
        <v>6</v>
      </c>
      <c r="N241" s="3" t="s">
        <v>211</v>
      </c>
      <c r="O241" s="4" t="str">
        <f>IF(ISNUMBER(SEARCH("cancel",[1]!Table1[[#This Row],[Status]])),"Cancelled",
IF(ISNUMBER(SEARCH("pend",[1]!Table1[[#This Row],[Status]])),"Pending","Completed"))</f>
        <v>Pending</v>
      </c>
    </row>
    <row r="242" spans="1:15" x14ac:dyDescent="0.3">
      <c r="A242" s="5" t="s">
        <v>287</v>
      </c>
      <c r="B242" s="6">
        <v>45700</v>
      </c>
      <c r="C242" s="7" t="str">
        <f>TEXT([1]!Table1[[#This Row],[Date]],"dddd")</f>
        <v>Saturday</v>
      </c>
      <c r="D242" s="7" t="s">
        <v>9</v>
      </c>
      <c r="E242" s="7">
        <v>2025</v>
      </c>
      <c r="F242" s="7" t="s">
        <v>2</v>
      </c>
      <c r="G242" s="7" t="s">
        <v>20</v>
      </c>
      <c r="H242" s="7" t="s">
        <v>21</v>
      </c>
      <c r="I242" s="7">
        <v>5</v>
      </c>
      <c r="J242" s="7">
        <v>600</v>
      </c>
      <c r="K242" s="7">
        <v>3000</v>
      </c>
      <c r="L242" s="7" t="s">
        <v>22</v>
      </c>
      <c r="M242" s="7" t="s">
        <v>36</v>
      </c>
      <c r="N242" s="7" t="s">
        <v>211</v>
      </c>
      <c r="O242" s="8" t="str">
        <f>IF(ISNUMBER(SEARCH("cancel",[1]!Table1[[#This Row],[Status]])),"Cancelled",
IF(ISNUMBER(SEARCH("pend",[1]!Table1[[#This Row],[Status]])),"Pending","Completed"))</f>
        <v>Pending</v>
      </c>
    </row>
    <row r="243" spans="1:15" x14ac:dyDescent="0.3">
      <c r="A243" s="1" t="s">
        <v>288</v>
      </c>
      <c r="B243" s="2">
        <v>45729</v>
      </c>
      <c r="C243" s="3" t="str">
        <f>TEXT([1]!Table1[[#This Row],[Date]],"dddd")</f>
        <v>Wednesday</v>
      </c>
      <c r="D243" s="3" t="s">
        <v>1</v>
      </c>
      <c r="E243" s="3">
        <v>2025</v>
      </c>
      <c r="F243" s="3" t="s">
        <v>49</v>
      </c>
      <c r="G243" s="3" t="s">
        <v>15</v>
      </c>
      <c r="H243" s="3" t="s">
        <v>16</v>
      </c>
      <c r="I243" s="3">
        <v>1</v>
      </c>
      <c r="J243" s="3">
        <v>500</v>
      </c>
      <c r="K243" s="3">
        <v>500</v>
      </c>
      <c r="L243" s="3" t="s">
        <v>22</v>
      </c>
      <c r="M243" s="3" t="s">
        <v>36</v>
      </c>
      <c r="N243" s="3" t="s">
        <v>211</v>
      </c>
      <c r="O243" s="4" t="str">
        <f>IF(ISNUMBER(SEARCH("cancel",[1]!Table1[[#This Row],[Status]])),"Cancelled",
IF(ISNUMBER(SEARCH("pend",[1]!Table1[[#This Row],[Status]])),"Pending","Completed"))</f>
        <v>Pending</v>
      </c>
    </row>
    <row r="244" spans="1:15" x14ac:dyDescent="0.3">
      <c r="A244" s="5" t="s">
        <v>289</v>
      </c>
      <c r="B244" s="6">
        <v>45735</v>
      </c>
      <c r="C244" s="7" t="str">
        <f>TEXT([1]!Table1[[#This Row],[Date]],"dddd")</f>
        <v>Thursday</v>
      </c>
      <c r="D244" s="7" t="s">
        <v>1</v>
      </c>
      <c r="E244" s="7">
        <v>2025</v>
      </c>
      <c r="F244" s="7" t="s">
        <v>2</v>
      </c>
      <c r="G244" s="7" t="s">
        <v>3</v>
      </c>
      <c r="H244" s="7" t="s">
        <v>4</v>
      </c>
      <c r="I244" s="7">
        <v>2</v>
      </c>
      <c r="J244" s="7">
        <v>60</v>
      </c>
      <c r="K244" s="7">
        <v>120</v>
      </c>
      <c r="L244" s="7" t="s">
        <v>25</v>
      </c>
      <c r="M244" s="7" t="s">
        <v>12</v>
      </c>
      <c r="N244" s="7" t="s">
        <v>211</v>
      </c>
      <c r="O244" s="8" t="str">
        <f>IF(ISNUMBER(SEARCH("cancel",[1]!Table1[[#This Row],[Status]])),"Cancelled",
IF(ISNUMBER(SEARCH("pend",[1]!Table1[[#This Row],[Status]])),"Pending","Completed"))</f>
        <v>Pending</v>
      </c>
    </row>
    <row r="245" spans="1:15" x14ac:dyDescent="0.3">
      <c r="A245" s="1" t="s">
        <v>290</v>
      </c>
      <c r="B245" s="2">
        <v>45700</v>
      </c>
      <c r="C245" s="3" t="str">
        <f>TEXT([1]!Table1[[#This Row],[Date]],"dddd")</f>
        <v>Wednesday</v>
      </c>
      <c r="D245" s="3" t="s">
        <v>9</v>
      </c>
      <c r="E245" s="3">
        <v>2025</v>
      </c>
      <c r="F245" s="3" t="s">
        <v>49</v>
      </c>
      <c r="G245" s="3" t="s">
        <v>3</v>
      </c>
      <c r="H245" s="3" t="s">
        <v>4</v>
      </c>
      <c r="I245" s="3">
        <v>1</v>
      </c>
      <c r="J245" s="3">
        <v>60</v>
      </c>
      <c r="K245" s="3">
        <v>60</v>
      </c>
      <c r="L245" s="3" t="s">
        <v>17</v>
      </c>
      <c r="M245" s="3" t="s">
        <v>12</v>
      </c>
      <c r="N245" s="3" t="s">
        <v>211</v>
      </c>
      <c r="O245" s="4" t="str">
        <f>IF(ISNUMBER(SEARCH("cancel",[1]!Table1[[#This Row],[Status]])),"Cancelled",
IF(ISNUMBER(SEARCH("pend",[1]!Table1[[#This Row],[Status]])),"Pending","Completed"))</f>
        <v>Pending</v>
      </c>
    </row>
    <row r="246" spans="1:15" x14ac:dyDescent="0.3">
      <c r="A246" s="5" t="s">
        <v>291</v>
      </c>
      <c r="B246" s="6">
        <v>45737</v>
      </c>
      <c r="C246" s="7" t="str">
        <f>TEXT([1]!Table1[[#This Row],[Date]],"dddd")</f>
        <v>Wednesday</v>
      </c>
      <c r="D246" s="7" t="s">
        <v>1</v>
      </c>
      <c r="E246" s="7">
        <v>2025</v>
      </c>
      <c r="F246" s="7" t="s">
        <v>2</v>
      </c>
      <c r="G246" s="7" t="s">
        <v>3</v>
      </c>
      <c r="H246" s="7" t="s">
        <v>4</v>
      </c>
      <c r="I246" s="7">
        <v>3</v>
      </c>
      <c r="J246" s="7">
        <v>60</v>
      </c>
      <c r="K246" s="7">
        <v>180</v>
      </c>
      <c r="L246" s="7" t="s">
        <v>17</v>
      </c>
      <c r="M246" s="7" t="s">
        <v>6</v>
      </c>
      <c r="N246" s="7" t="s">
        <v>211</v>
      </c>
      <c r="O246" s="8" t="str">
        <f>IF(ISNUMBER(SEARCH("cancel",[1]!Table1[[#This Row],[Status]])),"Cancelled",
IF(ISNUMBER(SEARCH("pend",[1]!Table1[[#This Row],[Status]])),"Pending","Completed"))</f>
        <v>Pending</v>
      </c>
    </row>
    <row r="247" spans="1:15" x14ac:dyDescent="0.3">
      <c r="A247" s="1" t="s">
        <v>292</v>
      </c>
      <c r="B247" s="2">
        <v>45747</v>
      </c>
      <c r="C247" s="3" t="str">
        <f>TEXT([1]!Table1[[#This Row],[Date]],"dddd")</f>
        <v>Friday</v>
      </c>
      <c r="D247" s="3" t="s">
        <v>1</v>
      </c>
      <c r="E247" s="3">
        <v>2025</v>
      </c>
      <c r="F247" s="3" t="s">
        <v>45</v>
      </c>
      <c r="G247" s="3" t="s">
        <v>15</v>
      </c>
      <c r="H247" s="3" t="s">
        <v>29</v>
      </c>
      <c r="I247" s="3">
        <v>4</v>
      </c>
      <c r="J247" s="3">
        <v>100</v>
      </c>
      <c r="K247" s="3">
        <v>400</v>
      </c>
      <c r="L247" s="3" t="s">
        <v>17</v>
      </c>
      <c r="M247" s="3" t="s">
        <v>36</v>
      </c>
      <c r="N247" s="3" t="s">
        <v>211</v>
      </c>
      <c r="O247" s="4" t="str">
        <f>IF(ISNUMBER(SEARCH("cancel",[1]!Table1[[#This Row],[Status]])),"Cancelled",
IF(ISNUMBER(SEARCH("pend",[1]!Table1[[#This Row],[Status]])),"Pending","Completed"))</f>
        <v>Pending</v>
      </c>
    </row>
    <row r="248" spans="1:15" x14ac:dyDescent="0.3">
      <c r="A248" s="5" t="s">
        <v>293</v>
      </c>
      <c r="B248" s="6">
        <v>45697</v>
      </c>
      <c r="C248" s="7" t="str">
        <f>TEXT([1]!Table1[[#This Row],[Date]],"dddd")</f>
        <v>Monday</v>
      </c>
      <c r="D248" s="7" t="s">
        <v>9</v>
      </c>
      <c r="E248" s="7">
        <v>2025</v>
      </c>
      <c r="F248" s="7" t="s">
        <v>10</v>
      </c>
      <c r="G248" s="7" t="s">
        <v>15</v>
      </c>
      <c r="H248" s="7" t="s">
        <v>61</v>
      </c>
      <c r="I248" s="7">
        <v>1</v>
      </c>
      <c r="J248" s="7">
        <v>150</v>
      </c>
      <c r="K248" s="7">
        <v>150</v>
      </c>
      <c r="L248" s="7" t="s">
        <v>11</v>
      </c>
      <c r="M248" s="7" t="s">
        <v>12</v>
      </c>
      <c r="N248" s="7" t="s">
        <v>211</v>
      </c>
      <c r="O248" s="8" t="str">
        <f>IF(ISNUMBER(SEARCH("cancel",[1]!Table1[[#This Row],[Status]])),"Cancelled",
IF(ISNUMBER(SEARCH("pend",[1]!Table1[[#This Row],[Status]])),"Pending","Completed"))</f>
        <v>Pending</v>
      </c>
    </row>
    <row r="249" spans="1:15" x14ac:dyDescent="0.3">
      <c r="A249" s="1" t="s">
        <v>294</v>
      </c>
      <c r="B249" s="2">
        <v>45746</v>
      </c>
      <c r="C249" s="3" t="str">
        <f>TEXT([1]!Table1[[#This Row],[Date]],"dddd")</f>
        <v>Sunday</v>
      </c>
      <c r="D249" s="3" t="s">
        <v>1</v>
      </c>
      <c r="E249" s="3">
        <v>2025</v>
      </c>
      <c r="F249" s="3" t="s">
        <v>33</v>
      </c>
      <c r="G249" s="3" t="s">
        <v>15</v>
      </c>
      <c r="H249" s="3" t="s">
        <v>16</v>
      </c>
      <c r="I249" s="3">
        <v>4</v>
      </c>
      <c r="J249" s="3">
        <v>500</v>
      </c>
      <c r="K249" s="3">
        <v>2000</v>
      </c>
      <c r="L249" s="3" t="s">
        <v>5</v>
      </c>
      <c r="M249" s="3" t="s">
        <v>36</v>
      </c>
      <c r="N249" s="3" t="s">
        <v>211</v>
      </c>
      <c r="O249" s="4" t="str">
        <f>IF(ISNUMBER(SEARCH("cancel",[1]!Table1[[#This Row],[Status]])),"Cancelled",
IF(ISNUMBER(SEARCH("pend",[1]!Table1[[#This Row],[Status]])),"Pending","Completed"))</f>
        <v>Pending</v>
      </c>
    </row>
    <row r="250" spans="1:15" x14ac:dyDescent="0.3">
      <c r="A250" s="5" t="s">
        <v>295</v>
      </c>
      <c r="B250" s="6">
        <v>45724</v>
      </c>
      <c r="C250" s="7" t="str">
        <f>TEXT([1]!Table1[[#This Row],[Date]],"dddd")</f>
        <v>Sunday</v>
      </c>
      <c r="D250" s="7" t="s">
        <v>1</v>
      </c>
      <c r="E250" s="7">
        <v>2025</v>
      </c>
      <c r="F250" s="7" t="s">
        <v>28</v>
      </c>
      <c r="G250" s="7" t="s">
        <v>15</v>
      </c>
      <c r="H250" s="7" t="s">
        <v>16</v>
      </c>
      <c r="I250" s="7">
        <v>4</v>
      </c>
      <c r="J250" s="7">
        <v>500</v>
      </c>
      <c r="K250" s="7">
        <v>2000</v>
      </c>
      <c r="L250" s="7" t="s">
        <v>25</v>
      </c>
      <c r="M250" s="7" t="s">
        <v>36</v>
      </c>
      <c r="N250" s="7" t="s">
        <v>211</v>
      </c>
      <c r="O250" s="8" t="str">
        <f>IF(ISNUMBER(SEARCH("cancel",[1]!Table1[[#This Row],[Status]])),"Cancelled",
IF(ISNUMBER(SEARCH("pend",[1]!Table1[[#This Row],[Status]])),"Pending","Completed"))</f>
        <v>Pending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7419-2D97-4FBB-9958-22F8114D3B99}">
  <dimension ref="A2:N31"/>
  <sheetViews>
    <sheetView workbookViewId="0">
      <selection activeCell="B20" sqref="B20"/>
    </sheetView>
  </sheetViews>
  <sheetFormatPr defaultRowHeight="14.4" x14ac:dyDescent="0.3"/>
  <cols>
    <col min="1" max="1" width="15.109375" bestFit="1" customWidth="1"/>
    <col min="2" max="2" width="16.44140625" bestFit="1" customWidth="1"/>
    <col min="3" max="3" width="8" bestFit="1" customWidth="1"/>
    <col min="4" max="4" width="15.44140625" bestFit="1" customWidth="1"/>
    <col min="5" max="6" width="16.44140625" bestFit="1" customWidth="1"/>
    <col min="7" max="7" width="18.109375" bestFit="1" customWidth="1"/>
    <col min="8" max="8" width="15.88671875" bestFit="1" customWidth="1"/>
    <col min="9" max="9" width="15.77734375" bestFit="1" customWidth="1"/>
    <col min="10" max="10" width="12.21875" bestFit="1" customWidth="1"/>
    <col min="11" max="11" width="15.88671875" bestFit="1" customWidth="1"/>
    <col min="12" max="16" width="15.77734375" bestFit="1" customWidth="1"/>
    <col min="17" max="17" width="11" bestFit="1" customWidth="1"/>
  </cols>
  <sheetData>
    <row r="2" spans="1:14" ht="15.6" x14ac:dyDescent="0.3">
      <c r="A2" s="9" t="s">
        <v>296</v>
      </c>
      <c r="B2" s="10"/>
      <c r="D2" s="9" t="s">
        <v>297</v>
      </c>
      <c r="E2" s="10"/>
      <c r="G2" s="9" t="s">
        <v>298</v>
      </c>
      <c r="H2" s="10"/>
      <c r="J2" s="9" t="s">
        <v>299</v>
      </c>
      <c r="K2" s="10"/>
      <c r="M2" s="11"/>
      <c r="N2" s="12"/>
    </row>
    <row r="3" spans="1:14" x14ac:dyDescent="0.3">
      <c r="A3" s="15" t="s">
        <v>300</v>
      </c>
      <c r="B3" t="s">
        <v>301</v>
      </c>
      <c r="D3" s="15" t="s">
        <v>302</v>
      </c>
      <c r="E3" t="s">
        <v>301</v>
      </c>
      <c r="G3" s="15" t="s">
        <v>303</v>
      </c>
      <c r="H3" t="s">
        <v>304</v>
      </c>
      <c r="J3" s="15" t="s">
        <v>305</v>
      </c>
      <c r="K3" t="s">
        <v>304</v>
      </c>
    </row>
    <row r="4" spans="1:14" x14ac:dyDescent="0.3">
      <c r="A4" s="13" t="s">
        <v>15</v>
      </c>
      <c r="B4" s="16">
        <v>129950</v>
      </c>
      <c r="D4" s="13" t="s">
        <v>40</v>
      </c>
      <c r="E4" s="16">
        <v>1035</v>
      </c>
      <c r="G4" s="13" t="s">
        <v>41</v>
      </c>
      <c r="H4" s="16">
        <v>60</v>
      </c>
      <c r="J4" s="13" t="s">
        <v>7</v>
      </c>
      <c r="K4" s="16">
        <v>77</v>
      </c>
    </row>
    <row r="5" spans="1:14" x14ac:dyDescent="0.3">
      <c r="A5" s="13" t="s">
        <v>20</v>
      </c>
      <c r="B5" s="16">
        <v>105000</v>
      </c>
      <c r="D5" s="13" t="s">
        <v>53</v>
      </c>
      <c r="E5" s="16">
        <v>1060</v>
      </c>
      <c r="G5" s="13" t="s">
        <v>12</v>
      </c>
      <c r="H5" s="16">
        <v>54</v>
      </c>
      <c r="J5" s="13" t="s">
        <v>122</v>
      </c>
      <c r="K5" s="16">
        <v>88</v>
      </c>
    </row>
    <row r="6" spans="1:14" x14ac:dyDescent="0.3">
      <c r="A6" s="13" t="s">
        <v>3</v>
      </c>
      <c r="B6" s="16">
        <v>4320</v>
      </c>
      <c r="D6" s="13" t="s">
        <v>77</v>
      </c>
      <c r="E6" s="16">
        <v>2480</v>
      </c>
      <c r="G6" s="13" t="s">
        <v>26</v>
      </c>
      <c r="H6" s="16">
        <v>52</v>
      </c>
      <c r="J6" s="13" t="s">
        <v>211</v>
      </c>
      <c r="K6" s="16">
        <v>85</v>
      </c>
    </row>
    <row r="7" spans="1:14" x14ac:dyDescent="0.3">
      <c r="A7" s="13" t="s">
        <v>52</v>
      </c>
      <c r="B7" s="16">
        <v>3540</v>
      </c>
      <c r="D7" s="13" t="s">
        <v>4</v>
      </c>
      <c r="E7" s="16">
        <v>4320</v>
      </c>
      <c r="G7" s="13" t="s">
        <v>36</v>
      </c>
      <c r="H7" s="16">
        <v>43</v>
      </c>
      <c r="J7" s="13" t="s">
        <v>306</v>
      </c>
      <c r="K7" s="16">
        <v>250</v>
      </c>
    </row>
    <row r="8" spans="1:14" x14ac:dyDescent="0.3">
      <c r="A8" s="13" t="s">
        <v>39</v>
      </c>
      <c r="B8" s="16">
        <v>1035</v>
      </c>
      <c r="D8" s="13" t="s">
        <v>29</v>
      </c>
      <c r="E8" s="16">
        <v>7300</v>
      </c>
      <c r="G8" s="13" t="s">
        <v>6</v>
      </c>
      <c r="H8" s="16">
        <v>41</v>
      </c>
    </row>
    <row r="9" spans="1:14" x14ac:dyDescent="0.3">
      <c r="A9" s="13" t="s">
        <v>306</v>
      </c>
      <c r="B9" s="16">
        <v>243845</v>
      </c>
      <c r="D9" s="13" t="s">
        <v>61</v>
      </c>
      <c r="E9" s="16">
        <v>15750</v>
      </c>
      <c r="G9" s="13" t="s">
        <v>306</v>
      </c>
      <c r="H9" s="16">
        <v>250</v>
      </c>
    </row>
    <row r="10" spans="1:14" x14ac:dyDescent="0.3">
      <c r="D10" s="13" t="s">
        <v>21</v>
      </c>
      <c r="E10" s="16">
        <v>27000</v>
      </c>
    </row>
    <row r="11" spans="1:14" x14ac:dyDescent="0.3">
      <c r="D11" s="13" t="s">
        <v>16</v>
      </c>
      <c r="E11" s="16">
        <v>48500</v>
      </c>
    </row>
    <row r="12" spans="1:14" x14ac:dyDescent="0.3">
      <c r="D12" s="13" t="s">
        <v>83</v>
      </c>
      <c r="E12" s="16">
        <v>58400</v>
      </c>
    </row>
    <row r="13" spans="1:14" x14ac:dyDescent="0.3">
      <c r="D13" s="13" t="s">
        <v>24</v>
      </c>
      <c r="E13" s="16">
        <v>78000</v>
      </c>
    </row>
    <row r="14" spans="1:14" x14ac:dyDescent="0.3">
      <c r="A14" s="14"/>
      <c r="D14" s="13" t="s">
        <v>306</v>
      </c>
      <c r="E14" s="16">
        <v>243845</v>
      </c>
    </row>
    <row r="19" spans="1:5" ht="15.6" x14ac:dyDescent="0.3">
      <c r="A19" s="9" t="s">
        <v>307</v>
      </c>
      <c r="B19" s="10"/>
      <c r="D19" s="9" t="s">
        <v>308</v>
      </c>
      <c r="E19" s="10"/>
    </row>
    <row r="20" spans="1:5" x14ac:dyDescent="0.3">
      <c r="A20" s="15" t="s">
        <v>309</v>
      </c>
      <c r="B20" t="s">
        <v>310</v>
      </c>
      <c r="D20" s="15" t="s">
        <v>311</v>
      </c>
      <c r="E20" t="s">
        <v>301</v>
      </c>
    </row>
    <row r="21" spans="1:5" x14ac:dyDescent="0.3">
      <c r="A21" s="13" t="s">
        <v>14</v>
      </c>
      <c r="B21" s="16">
        <v>23475</v>
      </c>
      <c r="D21" s="13" t="s">
        <v>22</v>
      </c>
      <c r="E21" s="16">
        <v>31700</v>
      </c>
    </row>
    <row r="22" spans="1:5" x14ac:dyDescent="0.3">
      <c r="A22" s="13" t="s">
        <v>10</v>
      </c>
      <c r="B22" s="16">
        <v>26870</v>
      </c>
      <c r="D22" s="13" t="s">
        <v>11</v>
      </c>
      <c r="E22" s="16">
        <v>29785</v>
      </c>
    </row>
    <row r="23" spans="1:5" x14ac:dyDescent="0.3">
      <c r="A23" s="13" t="s">
        <v>2</v>
      </c>
      <c r="B23" s="16">
        <v>29700</v>
      </c>
      <c r="D23" s="13" t="s">
        <v>50</v>
      </c>
      <c r="E23" s="16">
        <v>28390</v>
      </c>
    </row>
    <row r="24" spans="1:5" x14ac:dyDescent="0.3">
      <c r="A24" s="13" t="s">
        <v>45</v>
      </c>
      <c r="B24" s="16">
        <v>31185</v>
      </c>
      <c r="D24" s="13" t="s">
        <v>31</v>
      </c>
      <c r="E24" s="16">
        <v>27145</v>
      </c>
    </row>
    <row r="25" spans="1:5" x14ac:dyDescent="0.3">
      <c r="A25" s="13" t="s">
        <v>33</v>
      </c>
      <c r="B25" s="16">
        <v>36170</v>
      </c>
      <c r="D25" s="13" t="s">
        <v>70</v>
      </c>
      <c r="E25" s="16">
        <v>26890</v>
      </c>
    </row>
    <row r="26" spans="1:5" x14ac:dyDescent="0.3">
      <c r="A26" s="13" t="s">
        <v>306</v>
      </c>
      <c r="B26" s="16">
        <v>147400</v>
      </c>
      <c r="D26" s="13" t="s">
        <v>25</v>
      </c>
      <c r="E26" s="16">
        <v>26170</v>
      </c>
    </row>
    <row r="27" spans="1:5" x14ac:dyDescent="0.3">
      <c r="D27" s="13" t="s">
        <v>47</v>
      </c>
      <c r="E27" s="16">
        <v>20810</v>
      </c>
    </row>
    <row r="28" spans="1:5" x14ac:dyDescent="0.3">
      <c r="D28" s="13" t="s">
        <v>5</v>
      </c>
      <c r="E28" s="16">
        <v>18940</v>
      </c>
    </row>
    <row r="29" spans="1:5" x14ac:dyDescent="0.3">
      <c r="D29" s="13" t="s">
        <v>56</v>
      </c>
      <c r="E29" s="16">
        <v>17820</v>
      </c>
    </row>
    <row r="30" spans="1:5" x14ac:dyDescent="0.3">
      <c r="D30" s="13" t="s">
        <v>17</v>
      </c>
      <c r="E30" s="16">
        <v>16195</v>
      </c>
    </row>
    <row r="31" spans="1:5" x14ac:dyDescent="0.3">
      <c r="D31" s="13" t="s">
        <v>306</v>
      </c>
      <c r="E31" s="16">
        <v>243845</v>
      </c>
    </row>
  </sheetData>
  <mergeCells count="7">
    <mergeCell ref="A2:B2"/>
    <mergeCell ref="D2:E2"/>
    <mergeCell ref="G2:H2"/>
    <mergeCell ref="J2:K2"/>
    <mergeCell ref="M2:N2"/>
    <mergeCell ref="A19:B19"/>
    <mergeCell ref="D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EEAE-29D9-4190-A459-AF10E5F61AF2}">
  <dimension ref="A2:G21"/>
  <sheetViews>
    <sheetView tabSelected="1" workbookViewId="0">
      <selection activeCell="G12" sqref="G12"/>
    </sheetView>
  </sheetViews>
  <sheetFormatPr defaultRowHeight="14.4" x14ac:dyDescent="0.3"/>
  <cols>
    <col min="1" max="1" width="15.88671875" bestFit="1" customWidth="1"/>
    <col min="2" max="2" width="16.44140625" bestFit="1" customWidth="1"/>
    <col min="3" max="3" width="14.77734375" bestFit="1" customWidth="1"/>
    <col min="4" max="4" width="11.44140625" bestFit="1" customWidth="1"/>
    <col min="5" max="5" width="11.109375" bestFit="1" customWidth="1"/>
    <col min="6" max="6" width="25.33203125" bestFit="1" customWidth="1"/>
    <col min="7" max="78" width="16.44140625" bestFit="1" customWidth="1"/>
    <col min="79" max="79" width="14.6640625" bestFit="1" customWidth="1"/>
    <col min="80" max="167" width="12.21875" bestFit="1" customWidth="1"/>
    <col min="168" max="168" width="15.77734375" bestFit="1" customWidth="1"/>
    <col min="169" max="253" width="9.88671875" bestFit="1" customWidth="1"/>
    <col min="254" max="254" width="13.33203125" bestFit="1" customWidth="1"/>
    <col min="255" max="255" width="11.44140625" bestFit="1" customWidth="1"/>
    <col min="256" max="256" width="10.6640625" bestFit="1" customWidth="1"/>
    <col min="257" max="257" width="14.21875" bestFit="1" customWidth="1"/>
    <col min="258" max="258" width="10.6640625" bestFit="1" customWidth="1"/>
    <col min="259" max="259" width="14.21875" bestFit="1" customWidth="1"/>
    <col min="260" max="260" width="10.6640625" bestFit="1" customWidth="1"/>
    <col min="261" max="261" width="14.21875" bestFit="1" customWidth="1"/>
    <col min="262" max="262" width="10.6640625" bestFit="1" customWidth="1"/>
    <col min="263" max="263" width="14.21875" bestFit="1" customWidth="1"/>
    <col min="264" max="264" width="10.6640625" bestFit="1" customWidth="1"/>
    <col min="265" max="265" width="14.21875" bestFit="1" customWidth="1"/>
    <col min="266" max="266" width="10.6640625" bestFit="1" customWidth="1"/>
    <col min="267" max="267" width="14.21875" bestFit="1" customWidth="1"/>
    <col min="268" max="268" width="10.6640625" bestFit="1" customWidth="1"/>
    <col min="269" max="269" width="14.21875" bestFit="1" customWidth="1"/>
    <col min="270" max="270" width="10.6640625" bestFit="1" customWidth="1"/>
    <col min="271" max="271" width="14.21875" bestFit="1" customWidth="1"/>
    <col min="272" max="272" width="10.6640625" bestFit="1" customWidth="1"/>
    <col min="273" max="273" width="14.21875" bestFit="1" customWidth="1"/>
    <col min="274" max="274" width="10.6640625" bestFit="1" customWidth="1"/>
    <col min="275" max="275" width="14.21875" bestFit="1" customWidth="1"/>
    <col min="276" max="276" width="10.6640625" bestFit="1" customWidth="1"/>
    <col min="277" max="277" width="14.21875" bestFit="1" customWidth="1"/>
    <col min="278" max="278" width="10.6640625" bestFit="1" customWidth="1"/>
    <col min="279" max="279" width="14.21875" bestFit="1" customWidth="1"/>
    <col min="280" max="280" width="10.6640625" bestFit="1" customWidth="1"/>
    <col min="281" max="281" width="14.21875" bestFit="1" customWidth="1"/>
    <col min="282" max="282" width="10.6640625" bestFit="1" customWidth="1"/>
    <col min="283" max="283" width="14.21875" bestFit="1" customWidth="1"/>
    <col min="284" max="284" width="10.6640625" bestFit="1" customWidth="1"/>
    <col min="285" max="285" width="14.21875" bestFit="1" customWidth="1"/>
    <col min="286" max="286" width="10.6640625" bestFit="1" customWidth="1"/>
    <col min="287" max="287" width="14.21875" bestFit="1" customWidth="1"/>
    <col min="288" max="288" width="10.6640625" bestFit="1" customWidth="1"/>
    <col min="289" max="289" width="14.21875" bestFit="1" customWidth="1"/>
    <col min="290" max="290" width="10.6640625" bestFit="1" customWidth="1"/>
    <col min="291" max="291" width="14.21875" bestFit="1" customWidth="1"/>
    <col min="292" max="292" width="10.6640625" bestFit="1" customWidth="1"/>
    <col min="293" max="293" width="14.21875" bestFit="1" customWidth="1"/>
    <col min="294" max="294" width="10.6640625" bestFit="1" customWidth="1"/>
    <col min="295" max="295" width="14.21875" bestFit="1" customWidth="1"/>
    <col min="296" max="296" width="10.6640625" bestFit="1" customWidth="1"/>
    <col min="297" max="297" width="14.21875" bestFit="1" customWidth="1"/>
    <col min="298" max="298" width="10.6640625" bestFit="1" customWidth="1"/>
    <col min="299" max="299" width="14.21875" bestFit="1" customWidth="1"/>
    <col min="300" max="300" width="10.6640625" bestFit="1" customWidth="1"/>
    <col min="301" max="301" width="14.21875" bestFit="1" customWidth="1"/>
    <col min="302" max="302" width="10.6640625" bestFit="1" customWidth="1"/>
    <col min="303" max="303" width="14.21875" bestFit="1" customWidth="1"/>
    <col min="304" max="304" width="10.6640625" bestFit="1" customWidth="1"/>
    <col min="305" max="305" width="14.21875" bestFit="1" customWidth="1"/>
    <col min="306" max="306" width="10.6640625" bestFit="1" customWidth="1"/>
    <col min="307" max="307" width="14.21875" bestFit="1" customWidth="1"/>
    <col min="308" max="308" width="10.6640625" bestFit="1" customWidth="1"/>
    <col min="309" max="309" width="14.21875" bestFit="1" customWidth="1"/>
    <col min="310" max="310" width="10.6640625" bestFit="1" customWidth="1"/>
    <col min="311" max="311" width="14.21875" bestFit="1" customWidth="1"/>
    <col min="312" max="312" width="10.6640625" bestFit="1" customWidth="1"/>
    <col min="313" max="313" width="14.21875" bestFit="1" customWidth="1"/>
    <col min="314" max="314" width="10.6640625" bestFit="1" customWidth="1"/>
    <col min="315" max="315" width="14.21875" bestFit="1" customWidth="1"/>
    <col min="316" max="316" width="10.6640625" bestFit="1" customWidth="1"/>
    <col min="317" max="317" width="14.21875" bestFit="1" customWidth="1"/>
    <col min="318" max="318" width="10.6640625" bestFit="1" customWidth="1"/>
    <col min="319" max="319" width="14.21875" bestFit="1" customWidth="1"/>
    <col min="320" max="320" width="10.6640625" bestFit="1" customWidth="1"/>
    <col min="321" max="321" width="14.21875" bestFit="1" customWidth="1"/>
    <col min="322" max="322" width="10.6640625" bestFit="1" customWidth="1"/>
    <col min="323" max="323" width="14.21875" bestFit="1" customWidth="1"/>
    <col min="324" max="324" width="10.6640625" bestFit="1" customWidth="1"/>
    <col min="325" max="325" width="14.21875" bestFit="1" customWidth="1"/>
    <col min="326" max="326" width="10.6640625" bestFit="1" customWidth="1"/>
    <col min="327" max="327" width="14.21875" bestFit="1" customWidth="1"/>
    <col min="328" max="328" width="10.6640625" bestFit="1" customWidth="1"/>
    <col min="329" max="329" width="14.21875" bestFit="1" customWidth="1"/>
    <col min="330" max="330" width="10.6640625" bestFit="1" customWidth="1"/>
    <col min="331" max="331" width="14.21875" bestFit="1" customWidth="1"/>
    <col min="332" max="332" width="10.6640625" bestFit="1" customWidth="1"/>
    <col min="333" max="333" width="14.21875" bestFit="1" customWidth="1"/>
    <col min="334" max="334" width="10.6640625" bestFit="1" customWidth="1"/>
    <col min="335" max="335" width="14.21875" bestFit="1" customWidth="1"/>
    <col min="336" max="336" width="10.6640625" bestFit="1" customWidth="1"/>
    <col min="337" max="337" width="14.21875" bestFit="1" customWidth="1"/>
    <col min="338" max="338" width="10.6640625" bestFit="1" customWidth="1"/>
    <col min="339" max="339" width="14.21875" bestFit="1" customWidth="1"/>
    <col min="340" max="340" width="10.6640625" bestFit="1" customWidth="1"/>
    <col min="341" max="341" width="14.21875" bestFit="1" customWidth="1"/>
    <col min="342" max="342" width="10.6640625" bestFit="1" customWidth="1"/>
    <col min="343" max="343" width="14.21875" bestFit="1" customWidth="1"/>
    <col min="344" max="344" width="10.6640625" bestFit="1" customWidth="1"/>
    <col min="345" max="345" width="14.21875" bestFit="1" customWidth="1"/>
    <col min="346" max="346" width="10.6640625" bestFit="1" customWidth="1"/>
    <col min="347" max="347" width="14.21875" bestFit="1" customWidth="1"/>
    <col min="348" max="348" width="10.6640625" bestFit="1" customWidth="1"/>
    <col min="349" max="349" width="14.21875" bestFit="1" customWidth="1"/>
    <col min="350" max="350" width="10.6640625" bestFit="1" customWidth="1"/>
    <col min="351" max="351" width="14.21875" bestFit="1" customWidth="1"/>
    <col min="352" max="352" width="10.6640625" bestFit="1" customWidth="1"/>
    <col min="353" max="353" width="14.21875" bestFit="1" customWidth="1"/>
    <col min="354" max="354" width="10.6640625" bestFit="1" customWidth="1"/>
    <col min="355" max="355" width="14.21875" bestFit="1" customWidth="1"/>
    <col min="356" max="356" width="10.6640625" bestFit="1" customWidth="1"/>
    <col min="357" max="357" width="14.21875" bestFit="1" customWidth="1"/>
    <col min="358" max="358" width="10.6640625" bestFit="1" customWidth="1"/>
    <col min="359" max="359" width="14.21875" bestFit="1" customWidth="1"/>
    <col min="360" max="360" width="10.6640625" bestFit="1" customWidth="1"/>
    <col min="361" max="361" width="14.21875" bestFit="1" customWidth="1"/>
    <col min="362" max="362" width="10.6640625" bestFit="1" customWidth="1"/>
    <col min="363" max="363" width="14.21875" bestFit="1" customWidth="1"/>
    <col min="364" max="364" width="10.6640625" bestFit="1" customWidth="1"/>
    <col min="365" max="365" width="14.21875" bestFit="1" customWidth="1"/>
    <col min="366" max="366" width="10.6640625" bestFit="1" customWidth="1"/>
    <col min="367" max="367" width="14.21875" bestFit="1" customWidth="1"/>
    <col min="368" max="368" width="10.6640625" bestFit="1" customWidth="1"/>
    <col min="369" max="369" width="14.21875" bestFit="1" customWidth="1"/>
    <col min="370" max="370" width="10.6640625" bestFit="1" customWidth="1"/>
    <col min="371" max="371" width="14.21875" bestFit="1" customWidth="1"/>
    <col min="372" max="372" width="10.6640625" bestFit="1" customWidth="1"/>
    <col min="373" max="373" width="14.21875" bestFit="1" customWidth="1"/>
    <col min="374" max="374" width="10.6640625" bestFit="1" customWidth="1"/>
    <col min="375" max="375" width="14.21875" bestFit="1" customWidth="1"/>
    <col min="376" max="376" width="10.6640625" bestFit="1" customWidth="1"/>
    <col min="377" max="377" width="14.21875" bestFit="1" customWidth="1"/>
    <col min="378" max="378" width="10.6640625" bestFit="1" customWidth="1"/>
    <col min="379" max="379" width="14.21875" bestFit="1" customWidth="1"/>
    <col min="380" max="380" width="10.6640625" bestFit="1" customWidth="1"/>
    <col min="381" max="381" width="14.21875" bestFit="1" customWidth="1"/>
    <col min="382" max="382" width="10.6640625" bestFit="1" customWidth="1"/>
    <col min="383" max="383" width="14.21875" bestFit="1" customWidth="1"/>
    <col min="384" max="384" width="10.6640625" bestFit="1" customWidth="1"/>
    <col min="385" max="385" width="14.21875" bestFit="1" customWidth="1"/>
    <col min="386" max="386" width="10.6640625" bestFit="1" customWidth="1"/>
    <col min="387" max="387" width="14.21875" bestFit="1" customWidth="1"/>
    <col min="388" max="388" width="10.6640625" bestFit="1" customWidth="1"/>
    <col min="389" max="389" width="14.21875" bestFit="1" customWidth="1"/>
    <col min="390" max="390" width="10.6640625" bestFit="1" customWidth="1"/>
    <col min="391" max="391" width="14.21875" bestFit="1" customWidth="1"/>
    <col min="392" max="392" width="10.6640625" bestFit="1" customWidth="1"/>
    <col min="393" max="393" width="14.21875" bestFit="1" customWidth="1"/>
    <col min="394" max="394" width="10.6640625" bestFit="1" customWidth="1"/>
    <col min="395" max="395" width="14.21875" bestFit="1" customWidth="1"/>
    <col min="396" max="396" width="10.6640625" bestFit="1" customWidth="1"/>
    <col min="397" max="397" width="14.21875" bestFit="1" customWidth="1"/>
    <col min="398" max="398" width="10.6640625" bestFit="1" customWidth="1"/>
    <col min="399" max="399" width="14.21875" bestFit="1" customWidth="1"/>
    <col min="400" max="400" width="10.6640625" bestFit="1" customWidth="1"/>
    <col min="401" max="401" width="14.21875" bestFit="1" customWidth="1"/>
    <col min="402" max="402" width="10.6640625" bestFit="1" customWidth="1"/>
    <col min="403" max="403" width="14.21875" bestFit="1" customWidth="1"/>
    <col min="404" max="404" width="10.6640625" bestFit="1" customWidth="1"/>
    <col min="405" max="405" width="14.21875" bestFit="1" customWidth="1"/>
    <col min="406" max="406" width="10.6640625" bestFit="1" customWidth="1"/>
    <col min="407" max="407" width="14.21875" bestFit="1" customWidth="1"/>
    <col min="408" max="408" width="10.6640625" bestFit="1" customWidth="1"/>
    <col min="409" max="409" width="14.21875" bestFit="1" customWidth="1"/>
    <col min="410" max="410" width="10.6640625" bestFit="1" customWidth="1"/>
    <col min="411" max="411" width="14.21875" bestFit="1" customWidth="1"/>
    <col min="412" max="412" width="10.6640625" bestFit="1" customWidth="1"/>
    <col min="413" max="413" width="14.21875" bestFit="1" customWidth="1"/>
    <col min="414" max="414" width="10.6640625" bestFit="1" customWidth="1"/>
    <col min="415" max="415" width="14.21875" bestFit="1" customWidth="1"/>
    <col min="416" max="416" width="10.6640625" bestFit="1" customWidth="1"/>
    <col min="417" max="417" width="14.21875" bestFit="1" customWidth="1"/>
    <col min="418" max="418" width="10.6640625" bestFit="1" customWidth="1"/>
    <col min="419" max="419" width="14.21875" bestFit="1" customWidth="1"/>
    <col min="420" max="420" width="10.6640625" bestFit="1" customWidth="1"/>
    <col min="421" max="421" width="14.21875" bestFit="1" customWidth="1"/>
    <col min="422" max="422" width="10.6640625" bestFit="1" customWidth="1"/>
    <col min="423" max="423" width="14.21875" bestFit="1" customWidth="1"/>
    <col min="424" max="424" width="10.6640625" bestFit="1" customWidth="1"/>
    <col min="425" max="425" width="14.21875" bestFit="1" customWidth="1"/>
    <col min="426" max="426" width="10.6640625" bestFit="1" customWidth="1"/>
    <col min="427" max="427" width="14.21875" bestFit="1" customWidth="1"/>
    <col min="428" max="428" width="10.6640625" bestFit="1" customWidth="1"/>
    <col min="429" max="429" width="14.21875" bestFit="1" customWidth="1"/>
    <col min="430" max="430" width="10.6640625" bestFit="1" customWidth="1"/>
    <col min="431" max="431" width="14.21875" bestFit="1" customWidth="1"/>
    <col min="432" max="432" width="10.6640625" bestFit="1" customWidth="1"/>
    <col min="433" max="433" width="14.21875" bestFit="1" customWidth="1"/>
    <col min="434" max="434" width="10.6640625" bestFit="1" customWidth="1"/>
    <col min="435" max="435" width="14.21875" bestFit="1" customWidth="1"/>
    <col min="436" max="436" width="10.6640625" bestFit="1" customWidth="1"/>
    <col min="437" max="437" width="14.21875" bestFit="1" customWidth="1"/>
    <col min="438" max="438" width="10.6640625" bestFit="1" customWidth="1"/>
    <col min="439" max="439" width="14.21875" bestFit="1" customWidth="1"/>
    <col min="440" max="440" width="10.6640625" bestFit="1" customWidth="1"/>
    <col min="441" max="441" width="14.21875" bestFit="1" customWidth="1"/>
    <col min="442" max="442" width="10.6640625" bestFit="1" customWidth="1"/>
    <col min="443" max="443" width="14.21875" bestFit="1" customWidth="1"/>
    <col min="444" max="444" width="10.6640625" bestFit="1" customWidth="1"/>
    <col min="445" max="445" width="14.21875" bestFit="1" customWidth="1"/>
    <col min="446" max="446" width="10.6640625" bestFit="1" customWidth="1"/>
    <col min="447" max="447" width="14.21875" bestFit="1" customWidth="1"/>
    <col min="448" max="448" width="10.6640625" bestFit="1" customWidth="1"/>
    <col min="449" max="449" width="14.21875" bestFit="1" customWidth="1"/>
    <col min="450" max="450" width="10.6640625" bestFit="1" customWidth="1"/>
    <col min="451" max="451" width="14.21875" bestFit="1" customWidth="1"/>
    <col min="452" max="452" width="10.6640625" bestFit="1" customWidth="1"/>
    <col min="453" max="453" width="14.21875" bestFit="1" customWidth="1"/>
    <col min="454" max="454" width="10.6640625" bestFit="1" customWidth="1"/>
    <col min="455" max="455" width="14.21875" bestFit="1" customWidth="1"/>
    <col min="456" max="456" width="10.6640625" bestFit="1" customWidth="1"/>
    <col min="457" max="457" width="14.21875" bestFit="1" customWidth="1"/>
    <col min="458" max="458" width="10.6640625" bestFit="1" customWidth="1"/>
    <col min="459" max="459" width="14.21875" bestFit="1" customWidth="1"/>
    <col min="460" max="460" width="10.6640625" bestFit="1" customWidth="1"/>
    <col min="461" max="461" width="14.21875" bestFit="1" customWidth="1"/>
    <col min="462" max="462" width="10.6640625" bestFit="1" customWidth="1"/>
    <col min="463" max="463" width="14.21875" bestFit="1" customWidth="1"/>
    <col min="464" max="464" width="10.6640625" bestFit="1" customWidth="1"/>
    <col min="465" max="465" width="14.21875" bestFit="1" customWidth="1"/>
    <col min="466" max="466" width="10.6640625" bestFit="1" customWidth="1"/>
    <col min="467" max="467" width="14.21875" bestFit="1" customWidth="1"/>
    <col min="468" max="468" width="10.6640625" bestFit="1" customWidth="1"/>
    <col min="469" max="469" width="14.21875" bestFit="1" customWidth="1"/>
    <col min="470" max="470" width="10.6640625" bestFit="1" customWidth="1"/>
    <col min="471" max="471" width="14.21875" bestFit="1" customWidth="1"/>
    <col min="472" max="472" width="10.6640625" bestFit="1" customWidth="1"/>
    <col min="473" max="473" width="14.21875" bestFit="1" customWidth="1"/>
    <col min="474" max="474" width="10.6640625" bestFit="1" customWidth="1"/>
    <col min="475" max="475" width="14.21875" bestFit="1" customWidth="1"/>
    <col min="476" max="476" width="10.6640625" bestFit="1" customWidth="1"/>
    <col min="477" max="477" width="14.21875" bestFit="1" customWidth="1"/>
    <col min="478" max="478" width="10.6640625" bestFit="1" customWidth="1"/>
    <col min="479" max="479" width="14.21875" bestFit="1" customWidth="1"/>
    <col min="480" max="480" width="10.6640625" bestFit="1" customWidth="1"/>
    <col min="481" max="481" width="14.21875" bestFit="1" customWidth="1"/>
    <col min="482" max="482" width="10.6640625" bestFit="1" customWidth="1"/>
    <col min="483" max="483" width="14.21875" bestFit="1" customWidth="1"/>
    <col min="484" max="484" width="10.6640625" bestFit="1" customWidth="1"/>
    <col min="485" max="485" width="14.21875" bestFit="1" customWidth="1"/>
    <col min="486" max="486" width="10.6640625" bestFit="1" customWidth="1"/>
    <col min="487" max="487" width="14.21875" bestFit="1" customWidth="1"/>
    <col min="488" max="488" width="10.6640625" bestFit="1" customWidth="1"/>
    <col min="489" max="489" width="14.21875" bestFit="1" customWidth="1"/>
    <col min="490" max="490" width="10.6640625" bestFit="1" customWidth="1"/>
    <col min="491" max="491" width="14.21875" bestFit="1" customWidth="1"/>
    <col min="492" max="492" width="10.6640625" bestFit="1" customWidth="1"/>
    <col min="493" max="493" width="14.21875" bestFit="1" customWidth="1"/>
    <col min="494" max="494" width="10.6640625" bestFit="1" customWidth="1"/>
    <col min="495" max="495" width="14.21875" bestFit="1" customWidth="1"/>
    <col min="496" max="496" width="10.6640625" bestFit="1" customWidth="1"/>
    <col min="497" max="497" width="14.21875" bestFit="1" customWidth="1"/>
    <col min="498" max="498" width="10.6640625" bestFit="1" customWidth="1"/>
    <col min="499" max="499" width="14.21875" bestFit="1" customWidth="1"/>
    <col min="500" max="500" width="10.6640625" bestFit="1" customWidth="1"/>
    <col min="501" max="501" width="14.21875" bestFit="1" customWidth="1"/>
    <col min="502" max="502" width="11.44140625" bestFit="1" customWidth="1"/>
  </cols>
  <sheetData>
    <row r="2" spans="1:7" x14ac:dyDescent="0.3">
      <c r="B2" s="17" t="s">
        <v>312</v>
      </c>
      <c r="C2" s="17"/>
      <c r="D2" s="17"/>
      <c r="E2" s="17"/>
    </row>
    <row r="3" spans="1:7" x14ac:dyDescent="0.3">
      <c r="B3" s="18" t="s">
        <v>313</v>
      </c>
      <c r="C3" s="18" t="s">
        <v>314</v>
      </c>
      <c r="D3" s="18" t="s">
        <v>315</v>
      </c>
      <c r="E3" s="18" t="s">
        <v>316</v>
      </c>
    </row>
    <row r="4" spans="1:7" x14ac:dyDescent="0.3">
      <c r="B4" s="19">
        <f>GETPIVOTDATA("Order ID",$A$19,"Status Flag","Cancelled")/GETPIVOTDATA("Order ID",$A$19)</f>
        <v>0.308</v>
      </c>
      <c r="C4" s="19">
        <f>GETPIVOTDATA("Order ID",$A$19,"Status Flag","Pending")/GETPIVOTDATA("Order ID",$A$19)</f>
        <v>0.34</v>
      </c>
      <c r="D4" s="20">
        <f>GETPIVOTDATA("Order ID",$A$19,"Status Flag","Completed")/GETPIVOTDATA("Order ID",$A$19)</f>
        <v>0.35199999999999998</v>
      </c>
      <c r="E4" s="21">
        <f>GETPIVOTDATA("Order ID",$A$19)/GETPIVOTDATA("Order ID",$A$19)</f>
        <v>1</v>
      </c>
    </row>
    <row r="5" spans="1:7" x14ac:dyDescent="0.3">
      <c r="E5" s="21"/>
    </row>
    <row r="10" spans="1:7" x14ac:dyDescent="0.3">
      <c r="A10" s="17" t="s">
        <v>317</v>
      </c>
      <c r="B10" s="10"/>
      <c r="C10" s="10"/>
      <c r="D10" s="10"/>
      <c r="E10" s="10"/>
    </row>
    <row r="11" spans="1:7" x14ac:dyDescent="0.3">
      <c r="A11" t="s">
        <v>304</v>
      </c>
      <c r="B11" t="s">
        <v>301</v>
      </c>
      <c r="C11" t="s">
        <v>318</v>
      </c>
      <c r="D11" t="s">
        <v>319</v>
      </c>
      <c r="E11" t="s">
        <v>320</v>
      </c>
    </row>
    <row r="12" spans="1:7" x14ac:dyDescent="0.3">
      <c r="A12" s="16">
        <v>250</v>
      </c>
      <c r="B12" s="22">
        <v>243845</v>
      </c>
      <c r="C12" s="23">
        <v>343.58</v>
      </c>
      <c r="D12" s="16">
        <v>1200</v>
      </c>
      <c r="E12" s="16">
        <v>15</v>
      </c>
      <c r="F12" s="21"/>
      <c r="G12" s="21"/>
    </row>
    <row r="13" spans="1:7" x14ac:dyDescent="0.3">
      <c r="F13" s="21"/>
    </row>
    <row r="18" spans="1:5" x14ac:dyDescent="0.3">
      <c r="A18" s="17" t="s">
        <v>321</v>
      </c>
      <c r="B18" s="10"/>
      <c r="C18" s="10"/>
      <c r="D18" s="10"/>
      <c r="E18" s="10"/>
    </row>
    <row r="19" spans="1:5" x14ac:dyDescent="0.3">
      <c r="B19" s="15" t="s">
        <v>322</v>
      </c>
    </row>
    <row r="20" spans="1:5" x14ac:dyDescent="0.3">
      <c r="B20" t="s">
        <v>7</v>
      </c>
      <c r="C20" t="s">
        <v>122</v>
      </c>
      <c r="D20" t="s">
        <v>211</v>
      </c>
      <c r="E20" t="s">
        <v>306</v>
      </c>
    </row>
    <row r="21" spans="1:5" x14ac:dyDescent="0.3">
      <c r="A21" t="s">
        <v>304</v>
      </c>
      <c r="B21" s="16">
        <v>77</v>
      </c>
      <c r="C21" s="16">
        <v>88</v>
      </c>
      <c r="D21" s="16">
        <v>85</v>
      </c>
      <c r="E21" s="16">
        <v>250</v>
      </c>
    </row>
  </sheetData>
  <mergeCells count="3">
    <mergeCell ref="B2:E2"/>
    <mergeCell ref="A10:E10"/>
    <mergeCell ref="A18:E18"/>
  </mergeCell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Cleaned_Data_Amazon_Sales</vt:lpstr>
      <vt:lpstr>EDA_Pivot_Analysis</vt:lpstr>
      <vt:lpstr>KPI_Pivot_Analysis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YADAV</dc:creator>
  <cp:lastModifiedBy>UMESH YADAV</cp:lastModifiedBy>
  <dcterms:created xsi:type="dcterms:W3CDTF">2025-12-11T14:38:30Z</dcterms:created>
  <dcterms:modified xsi:type="dcterms:W3CDTF">2025-12-11T14:41:20Z</dcterms:modified>
</cp:coreProperties>
</file>